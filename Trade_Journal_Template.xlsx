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e-Trade" sheetId="1" state="visible" r:id="rId1"/>
    <sheet name="Trade Log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E5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1" fontId="4" fillId="0" borderId="1" pivotButton="0" quotePrefix="0" xfId="0"/>
    <xf numFmtId="10" fontId="6" fillId="0" borderId="1" pivotButton="0" quotePrefix="0" xfId="0"/>
    <xf numFmtId="2" fontId="6" fillId="0" borderId="1" pivotButton="0" quotePrefix="0" xfId="0"/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zoomScale="10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2" customWidth="1" min="9" max="9"/>
  </cols>
  <sheetData>
    <row r="1">
      <c r="A1" s="1" t="inlineStr">
        <is>
          <t>DATE:</t>
        </is>
      </c>
      <c r="C1" s="1" t="inlineStr">
        <is>
          <t>TICKER:</t>
        </is>
      </c>
      <c r="E1" s="1" t="inlineStr">
        <is>
          <t>RANGO PRECIO:</t>
        </is>
      </c>
    </row>
    <row r="2"/>
    <row r="3">
      <c r="A3" s="2" t="inlineStr">
        <is>
          <t>No</t>
        </is>
      </c>
      <c r="B3" s="2" t="inlineStr">
        <is>
          <t>REQUISITOS</t>
        </is>
      </c>
      <c r="C3" s="2" t="inlineStr">
        <is>
          <t>SE CUMPLE</t>
        </is>
      </c>
      <c r="D3" s="2" t="inlineStr">
        <is>
          <t>NO SE CUMPLE</t>
        </is>
      </c>
    </row>
    <row r="4">
      <c r="A4" s="3" t="n">
        <v>1</v>
      </c>
      <c r="B4" s="4" t="inlineStr">
        <is>
          <t>Reunión FED (Cada 45 días)</t>
        </is>
      </c>
      <c r="C4" s="3" t="n"/>
      <c r="D4" s="3" t="n"/>
    </row>
    <row r="5">
      <c r="A5" s="3" t="n">
        <v>2</v>
      </c>
      <c r="B5" s="4" t="inlineStr">
        <is>
          <t>EARNING (Cada 3 meses)</t>
        </is>
      </c>
      <c r="C5" s="3" t="n"/>
      <c r="D5" s="3" t="n"/>
    </row>
    <row r="6" ht="30" customHeight="1">
      <c r="A6" s="3" t="n">
        <v>3</v>
      </c>
      <c r="B6" s="4" t="inlineStr">
        <is>
          <t>BOLLINGER: 15/Hora/Diario - Punto medio Diario (Resistencia/Soporte)</t>
        </is>
      </c>
      <c r="C6" s="3" t="n"/>
      <c r="D6" s="3" t="n"/>
    </row>
    <row r="7" ht="30" customHeight="1">
      <c r="A7" s="3" t="n">
        <v>4</v>
      </c>
      <c r="B7" s="4" t="inlineStr">
        <is>
          <t>PROMEDIOS MÓVILES: Techos/Pisos - Analizar HORA/DIA</t>
        </is>
      </c>
      <c r="C7" s="5" t="inlineStr">
        <is>
          <t>(describe análisis HORA/DIA aquí)</t>
        </is>
      </c>
      <c r="D7" s="6" t="n"/>
    </row>
    <row r="8">
      <c r="A8" s="3" t="n">
        <v>5</v>
      </c>
      <c r="B8" s="4" t="inlineStr">
        <is>
          <t>PUNTOS DE RUPTURA DE LÍNEAS DE TENDENCIA</t>
        </is>
      </c>
      <c r="C8" s="3" t="n"/>
      <c r="D8" s="3" t="n"/>
    </row>
    <row r="9">
      <c r="A9" s="3" t="n">
        <v>6</v>
      </c>
      <c r="B9" s="4" t="inlineStr">
        <is>
          <t>SALTO AL ALZA (GAP) / SALTO A LA BAJA (GAP)</t>
        </is>
      </c>
      <c r="C9" s="3" t="n"/>
      <c r="D9" s="3" t="n"/>
    </row>
    <row r="10">
      <c r="A10" s="3" t="n">
        <v>7</v>
      </c>
      <c r="B10" s="4" t="inlineStr">
        <is>
          <t>Precio BID - ASK - Diferencia</t>
        </is>
      </c>
      <c r="C10" s="3" t="n"/>
      <c r="D10" s="3" t="n"/>
    </row>
    <row r="11">
      <c r="B11" s="1" t="inlineStr">
        <is>
          <t xml:space="preserve">   BID</t>
        </is>
      </c>
      <c r="C11" s="3" t="n"/>
      <c r="D11" s="1" t="inlineStr">
        <is>
          <t>ASK</t>
        </is>
      </c>
      <c r="E11" s="3" t="n"/>
    </row>
    <row r="12">
      <c r="B12" s="1" t="inlineStr">
        <is>
          <t xml:space="preserve">   Diferencia</t>
        </is>
      </c>
      <c r="C12" s="7">
        <f>IFERROR(E11-C11,"")</f>
        <v/>
      </c>
    </row>
    <row r="13"/>
    <row r="14">
      <c r="A14" s="8" t="n">
        <v>8</v>
      </c>
      <c r="B14" s="8" t="inlineStr">
        <is>
          <t>ANÁLISIS SEMANAL</t>
        </is>
      </c>
    </row>
    <row r="15">
      <c r="B15" s="9" t="inlineStr">
        <is>
          <t>Día</t>
        </is>
      </c>
      <c r="C15" s="9" t="inlineStr">
        <is>
          <t>Distancia</t>
        </is>
      </c>
      <c r="D15" s="9" t="inlineStr">
        <is>
          <t>Spot Price</t>
        </is>
      </c>
      <c r="E15" s="9" t="inlineStr">
        <is>
          <t>Strike Price</t>
        </is>
      </c>
    </row>
    <row r="16">
      <c r="B16" s="10" t="inlineStr">
        <is>
          <t>Lunes</t>
        </is>
      </c>
      <c r="C16" s="6" t="n"/>
      <c r="D16" s="6" t="n"/>
      <c r="E16" s="6" t="n"/>
    </row>
    <row r="17">
      <c r="B17" s="10" t="inlineStr">
        <is>
          <t>Martes</t>
        </is>
      </c>
      <c r="C17" s="6" t="n"/>
      <c r="D17" s="6" t="n"/>
      <c r="E17" s="6" t="n"/>
    </row>
    <row r="18">
      <c r="B18" s="10" t="inlineStr">
        <is>
          <t>Miércoles</t>
        </is>
      </c>
      <c r="C18" s="6" t="n"/>
      <c r="D18" s="6" t="n"/>
      <c r="E18" s="6" t="n"/>
    </row>
    <row r="19">
      <c r="B19" s="10" t="inlineStr">
        <is>
          <t>Jueves</t>
        </is>
      </c>
      <c r="C19" s="6" t="n"/>
      <c r="D19" s="6" t="n"/>
      <c r="E19" s="6" t="n"/>
    </row>
    <row r="20">
      <c r="B20" s="10" t="inlineStr">
        <is>
          <t>Viernes</t>
        </is>
      </c>
      <c r="C20" s="6" t="n"/>
      <c r="D20" s="6" t="n"/>
      <c r="E20" s="6" t="n"/>
    </row>
    <row r="21"/>
    <row r="22">
      <c r="A22" s="1" t="n">
        <v>9</v>
      </c>
      <c r="B22" s="8" t="inlineStr">
        <is>
          <t>TRADE #1</t>
        </is>
      </c>
    </row>
    <row r="23">
      <c r="B23" s="9" t="inlineStr">
        <is>
          <t>Fecha Exp</t>
        </is>
      </c>
      <c r="C23" s="9" t="inlineStr">
        <is>
          <t>Tipo</t>
        </is>
      </c>
      <c r="D23" s="9" t="inlineStr">
        <is>
          <t>Fecha</t>
        </is>
      </c>
      <c r="E23" s="9" t="inlineStr">
        <is>
          <t>Hora</t>
        </is>
      </c>
      <c r="F23" s="9" t="inlineStr">
        <is>
          <t>N° Contratos</t>
        </is>
      </c>
      <c r="G23" s="9" t="inlineStr">
        <is>
          <t>Trade Price</t>
        </is>
      </c>
      <c r="H23" s="9" t="inlineStr">
        <is>
          <t>Rentabilidad $</t>
        </is>
      </c>
      <c r="I23" s="9" t="inlineStr">
        <is>
          <t>Plan %</t>
        </is>
      </c>
    </row>
    <row r="24">
      <c r="B24" s="6" t="n"/>
      <c r="C24" s="6" t="n"/>
      <c r="D24" s="6" t="n"/>
      <c r="E24" s="6" t="n"/>
      <c r="F24" s="6" t="n"/>
      <c r="G24" s="11" t="n"/>
      <c r="H24" s="11" t="n"/>
      <c r="I24" s="12" t="n"/>
    </row>
    <row r="25"/>
    <row r="26">
      <c r="A26" s="1" t="n">
        <v>10</v>
      </c>
      <c r="B26" s="8" t="inlineStr">
        <is>
          <t>TRADE #2</t>
        </is>
      </c>
    </row>
    <row r="27">
      <c r="B27" s="9" t="inlineStr">
        <is>
          <t>Fecha Exp</t>
        </is>
      </c>
      <c r="C27" s="9" t="inlineStr">
        <is>
          <t>Tipo</t>
        </is>
      </c>
      <c r="D27" s="9" t="inlineStr">
        <is>
          <t>Fecha</t>
        </is>
      </c>
      <c r="E27" s="9" t="inlineStr">
        <is>
          <t>Hora</t>
        </is>
      </c>
      <c r="F27" s="9" t="inlineStr">
        <is>
          <t>N° Contratos</t>
        </is>
      </c>
      <c r="G27" s="9" t="inlineStr">
        <is>
          <t>Trade Price</t>
        </is>
      </c>
      <c r="H27" s="9" t="inlineStr">
        <is>
          <t>Rentabilidad $</t>
        </is>
      </c>
      <c r="I27" s="9" t="inlineStr">
        <is>
          <t>Plan %</t>
        </is>
      </c>
    </row>
    <row r="28">
      <c r="B28" s="6" t="n"/>
      <c r="C28" s="6" t="n"/>
      <c r="D28" s="6" t="n"/>
      <c r="E28" s="6" t="n"/>
      <c r="F28" s="6" t="n"/>
      <c r="G28" s="11" t="n"/>
      <c r="H28" s="11" t="n"/>
      <c r="I28" s="12" t="n"/>
    </row>
    <row r="29"/>
    <row r="30">
      <c r="B30" s="13" t="inlineStr">
        <is>
          <t>TODAS LAS CONDICIONES SE CUMPLEN:</t>
        </is>
      </c>
      <c r="D30" s="14">
        <f>IF(COUNTIF(C4:C10,"&lt;&gt;")+COUNTA(C7)&gt;=7,"SÍ","REVISAR")</f>
        <v/>
      </c>
    </row>
  </sheetData>
  <mergeCells count="1">
    <mergeCell ref="C7:D7"/>
  </mergeCells>
  <conditionalFormatting sqref="D30">
    <cfRule type="cellIs" priority="1" operator="equal" dxfId="0">
      <formula>"SÍ"</formula>
    </cfRule>
    <cfRule type="cellIs" priority="2" operator="equal" dxfId="1">
      <formula>"REVISAR"</formula>
    </cfRule>
  </conditionalFormatting>
  <conditionalFormatting sqref="C4">
    <cfRule type="expression" priority="3" dxfId="2">
      <formula>LEN(TRIM(C4))&gt;0</formula>
    </cfRule>
  </conditionalFormatting>
  <conditionalFormatting sqref="C5">
    <cfRule type="expression" priority="4" dxfId="2">
      <formula>LEN(TRIM(C5))&gt;0</formula>
    </cfRule>
  </conditionalFormatting>
  <conditionalFormatting sqref="C6">
    <cfRule type="expression" priority="5" dxfId="2">
      <formula>LEN(TRIM(C6))&gt;0</formula>
    </cfRule>
  </conditionalFormatting>
  <conditionalFormatting sqref="C8">
    <cfRule type="expression" priority="6" dxfId="2">
      <formula>LEN(TRIM(C8))&gt;0</formula>
    </cfRule>
  </conditionalFormatting>
  <conditionalFormatting sqref="C9">
    <cfRule type="expression" priority="7" dxfId="2">
      <formula>LEN(TRIM(C9))&gt;0</formula>
    </cfRule>
  </conditionalFormatting>
  <conditionalFormatting sqref="C10">
    <cfRule type="expression" priority="8" dxfId="2">
      <formula>LEN(TRIM(C10))&gt;0</formula>
    </cfRule>
  </conditionalFormatting>
  <conditionalFormatting sqref="D4">
    <cfRule type="expression" priority="9" dxfId="3">
      <formula>LEN(TRIM(D4))&gt;0</formula>
    </cfRule>
  </conditionalFormatting>
  <conditionalFormatting sqref="D5">
    <cfRule type="expression" priority="10" dxfId="3">
      <formula>LEN(TRIM(D5))&gt;0</formula>
    </cfRule>
  </conditionalFormatting>
  <conditionalFormatting sqref="D6">
    <cfRule type="expression" priority="11" dxfId="3">
      <formula>LEN(TRIM(D6))&gt;0</formula>
    </cfRule>
  </conditionalFormatting>
  <conditionalFormatting sqref="D8">
    <cfRule type="expression" priority="12" dxfId="3">
      <formula>LEN(TRIM(D8))&gt;0</formula>
    </cfRule>
  </conditionalFormatting>
  <conditionalFormatting sqref="D9">
    <cfRule type="expression" priority="13" dxfId="3">
      <formula>LEN(TRIM(D9))&gt;0</formula>
    </cfRule>
  </conditionalFormatting>
  <conditionalFormatting sqref="D10">
    <cfRule type="expression" priority="14" dxfId="3">
      <formula>LEN(TRIM(D10))&gt;0</formula>
    </cfRule>
  </conditionalFormatting>
  <dataValidations count="1">
    <dataValidation sqref="C4 C5 C6 C8 C9 C10 D4 D5 D6 D8 D9 D10" showDropDown="0" showInputMessage="0" showErrorMessage="0" allowBlank="1" type="list">
      <formula1>"X,✓"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8" customWidth="1" min="5" max="5"/>
    <col width="10" customWidth="1" min="6" max="6"/>
    <col width="11" customWidth="1" min="7" max="7"/>
    <col width="8" customWidth="1" min="8" max="8"/>
    <col width="10" customWidth="1" min="9" max="9"/>
    <col width="8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8" customWidth="1" min="18" max="18"/>
    <col width="8" customWidth="1" min="19" max="19"/>
    <col width="11" customWidth="1" min="20" max="20"/>
    <col width="12" customWidth="1" min="21" max="21"/>
    <col width="14" customWidth="1" min="22" max="22"/>
    <col width="14" customWidth="1" min="23" max="23"/>
    <col width="10" customWidth="1" min="24" max="24"/>
    <col width="20" customWidth="1" min="25" max="25"/>
    <col width="30" customWidth="1" min="26" max="26"/>
  </cols>
  <sheetData>
    <row r="1">
      <c r="A1" s="2" t="inlineStr">
        <is>
          <t>#</t>
        </is>
      </c>
      <c r="B1" s="2" t="inlineStr">
        <is>
          <t>Fecha</t>
        </is>
      </c>
      <c r="C1" s="2" t="inlineStr">
        <is>
          <t>Ticker</t>
        </is>
      </c>
      <c r="D1" s="2" t="inlineStr">
        <is>
          <t>Rango Precio</t>
        </is>
      </c>
      <c r="E1" s="2" t="inlineStr">
        <is>
          <t>1. FED</t>
        </is>
      </c>
      <c r="F1" s="2" t="inlineStr">
        <is>
          <t>2. Earning</t>
        </is>
      </c>
      <c r="G1" s="2" t="inlineStr">
        <is>
          <t>3. Bollinger</t>
        </is>
      </c>
      <c r="H1" s="2" t="inlineStr">
        <is>
          <t>4. MM</t>
        </is>
      </c>
      <c r="I1" s="2" t="inlineStr">
        <is>
          <t>5. Ruptura</t>
        </is>
      </c>
      <c r="J1" s="2" t="inlineStr">
        <is>
          <t>6. Gap</t>
        </is>
      </c>
      <c r="K1" s="2" t="inlineStr">
        <is>
          <t>7. BID-ASK OK</t>
        </is>
      </c>
      <c r="L1" s="2" t="inlineStr">
        <is>
          <t>BID</t>
        </is>
      </c>
      <c r="M1" s="2" t="inlineStr">
        <is>
          <t>ASK</t>
        </is>
      </c>
      <c r="N1" s="2" t="inlineStr">
        <is>
          <t>Diferencia</t>
        </is>
      </c>
      <c r="O1" s="2" t="inlineStr">
        <is>
          <t>Spot</t>
        </is>
      </c>
      <c r="P1" s="2" t="inlineStr">
        <is>
          <t>Strike</t>
        </is>
      </c>
      <c r="Q1" s="2" t="inlineStr">
        <is>
          <t>Fecha Exp</t>
        </is>
      </c>
      <c r="R1" s="2" t="inlineStr">
        <is>
          <t>Tipo</t>
        </is>
      </c>
      <c r="S1" s="2" t="inlineStr">
        <is>
          <t>Hora</t>
        </is>
      </c>
      <c r="T1" s="2" t="inlineStr">
        <is>
          <t>N° Contratos</t>
        </is>
      </c>
      <c r="U1" s="2" t="inlineStr">
        <is>
          <t>Trade Price</t>
        </is>
      </c>
      <c r="V1" s="2" t="inlineStr">
        <is>
          <t>Rentabilidad $</t>
        </is>
      </c>
      <c r="W1" s="2" t="inlineStr">
        <is>
          <t>Rentabilidad %</t>
        </is>
      </c>
      <c r="X1" s="2" t="inlineStr">
        <is>
          <t>Plan %</t>
        </is>
      </c>
      <c r="Y1" s="2" t="inlineStr">
        <is>
          <t>Status</t>
        </is>
      </c>
      <c r="Z1" s="2" t="inlineStr">
        <is>
          <t>Notas</t>
        </is>
      </c>
    </row>
    <row r="2">
      <c r="A2" s="15">
        <f>IF(B2="","",ROW()-1)</f>
        <v/>
      </c>
      <c r="B2" s="16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7" t="n"/>
      <c r="M2" s="17" t="n"/>
      <c r="N2" s="17">
        <f>IFERROR(IF(AND(L2&lt;&gt;"",M2&lt;&gt;""),M2-L2,""),"")</f>
        <v/>
      </c>
      <c r="O2" s="17" t="n"/>
      <c r="P2" s="17" t="n"/>
      <c r="Q2" s="16" t="n"/>
      <c r="R2" s="15" t="n"/>
      <c r="S2" s="15" t="n"/>
      <c r="T2" s="15" t="n"/>
      <c r="U2" s="17" t="n"/>
      <c r="V2" s="17" t="n"/>
      <c r="W2" s="18">
        <f>IFERROR(V2/(U2*T2),"")</f>
        <v/>
      </c>
      <c r="X2" s="18" t="n"/>
      <c r="Y2" s="15" t="n"/>
      <c r="Z2" s="15" t="n"/>
    </row>
    <row r="3">
      <c r="A3" s="15">
        <f>IF(B3="","",ROW()-1)</f>
        <v/>
      </c>
      <c r="B3" s="16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7" t="n"/>
      <c r="M3" s="17" t="n"/>
      <c r="N3" s="17">
        <f>IFERROR(IF(AND(L3&lt;&gt;"",M3&lt;&gt;""),M3-L3,""),"")</f>
        <v/>
      </c>
      <c r="O3" s="17" t="n"/>
      <c r="P3" s="17" t="n"/>
      <c r="Q3" s="16" t="n"/>
      <c r="R3" s="15" t="n"/>
      <c r="S3" s="15" t="n"/>
      <c r="T3" s="15" t="n"/>
      <c r="U3" s="17" t="n"/>
      <c r="V3" s="17" t="n"/>
      <c r="W3" s="18">
        <f>IFERROR(V3/(U3*T3),"")</f>
        <v/>
      </c>
      <c r="X3" s="18" t="n"/>
      <c r="Y3" s="15" t="n"/>
      <c r="Z3" s="15" t="n"/>
    </row>
    <row r="4">
      <c r="A4" s="15">
        <f>IF(B4="","",ROW()-1)</f>
        <v/>
      </c>
      <c r="B4" s="16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7" t="n"/>
      <c r="M4" s="17" t="n"/>
      <c r="N4" s="17">
        <f>IFERROR(IF(AND(L4&lt;&gt;"",M4&lt;&gt;""),M4-L4,""),"")</f>
        <v/>
      </c>
      <c r="O4" s="17" t="n"/>
      <c r="P4" s="17" t="n"/>
      <c r="Q4" s="16" t="n"/>
      <c r="R4" s="15" t="n"/>
      <c r="S4" s="15" t="n"/>
      <c r="T4" s="15" t="n"/>
      <c r="U4" s="17" t="n"/>
      <c r="V4" s="17" t="n"/>
      <c r="W4" s="18">
        <f>IFERROR(V4/(U4*T4),"")</f>
        <v/>
      </c>
      <c r="X4" s="18" t="n"/>
      <c r="Y4" s="15" t="n"/>
      <c r="Z4" s="15" t="n"/>
    </row>
    <row r="5">
      <c r="A5" s="15">
        <f>IF(B5="","",ROW()-1)</f>
        <v/>
      </c>
      <c r="B5" s="16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7" t="n"/>
      <c r="M5" s="17" t="n"/>
      <c r="N5" s="17">
        <f>IFERROR(IF(AND(L5&lt;&gt;"",M5&lt;&gt;""),M5-L5,""),"")</f>
        <v/>
      </c>
      <c r="O5" s="17" t="n"/>
      <c r="P5" s="17" t="n"/>
      <c r="Q5" s="16" t="n"/>
      <c r="R5" s="15" t="n"/>
      <c r="S5" s="15" t="n"/>
      <c r="T5" s="15" t="n"/>
      <c r="U5" s="17" t="n"/>
      <c r="V5" s="17" t="n"/>
      <c r="W5" s="18">
        <f>IFERROR(V5/(U5*T5),"")</f>
        <v/>
      </c>
      <c r="X5" s="18" t="n"/>
      <c r="Y5" s="15" t="n"/>
      <c r="Z5" s="15" t="n"/>
    </row>
    <row r="6">
      <c r="A6" s="15">
        <f>IF(B6="","",ROW()-1)</f>
        <v/>
      </c>
      <c r="B6" s="16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7" t="n"/>
      <c r="M6" s="17" t="n"/>
      <c r="N6" s="17">
        <f>IFERROR(IF(AND(L6&lt;&gt;"",M6&lt;&gt;""),M6-L6,""),"")</f>
        <v/>
      </c>
      <c r="O6" s="17" t="n"/>
      <c r="P6" s="17" t="n"/>
      <c r="Q6" s="16" t="n"/>
      <c r="R6" s="15" t="n"/>
      <c r="S6" s="15" t="n"/>
      <c r="T6" s="15" t="n"/>
      <c r="U6" s="17" t="n"/>
      <c r="V6" s="17" t="n"/>
      <c r="W6" s="18">
        <f>IFERROR(V6/(U6*T6),"")</f>
        <v/>
      </c>
      <c r="X6" s="18" t="n"/>
      <c r="Y6" s="15" t="n"/>
      <c r="Z6" s="15" t="n"/>
    </row>
    <row r="7">
      <c r="A7" s="15">
        <f>IF(B7="","",ROW()-1)</f>
        <v/>
      </c>
      <c r="B7" s="16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7" t="n"/>
      <c r="M7" s="17" t="n"/>
      <c r="N7" s="17">
        <f>IFERROR(IF(AND(L7&lt;&gt;"",M7&lt;&gt;""),M7-L7,""),"")</f>
        <v/>
      </c>
      <c r="O7" s="17" t="n"/>
      <c r="P7" s="17" t="n"/>
      <c r="Q7" s="16" t="n"/>
      <c r="R7" s="15" t="n"/>
      <c r="S7" s="15" t="n"/>
      <c r="T7" s="15" t="n"/>
      <c r="U7" s="17" t="n"/>
      <c r="V7" s="17" t="n"/>
      <c r="W7" s="18">
        <f>IFERROR(V7/(U7*T7),"")</f>
        <v/>
      </c>
      <c r="X7" s="18" t="n"/>
      <c r="Y7" s="15" t="n"/>
      <c r="Z7" s="15" t="n"/>
    </row>
    <row r="8">
      <c r="A8" s="15">
        <f>IF(B8="","",ROW()-1)</f>
        <v/>
      </c>
      <c r="B8" s="16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7" t="n"/>
      <c r="M8" s="17" t="n"/>
      <c r="N8" s="17">
        <f>IFERROR(IF(AND(L8&lt;&gt;"",M8&lt;&gt;""),M8-L8,""),"")</f>
        <v/>
      </c>
      <c r="O8" s="17" t="n"/>
      <c r="P8" s="17" t="n"/>
      <c r="Q8" s="16" t="n"/>
      <c r="R8" s="15" t="n"/>
      <c r="S8" s="15" t="n"/>
      <c r="T8" s="15" t="n"/>
      <c r="U8" s="17" t="n"/>
      <c r="V8" s="17" t="n"/>
      <c r="W8" s="18">
        <f>IFERROR(V8/(U8*T8),"")</f>
        <v/>
      </c>
      <c r="X8" s="18" t="n"/>
      <c r="Y8" s="15" t="n"/>
      <c r="Z8" s="15" t="n"/>
    </row>
    <row r="9">
      <c r="A9" s="15">
        <f>IF(B9="","",ROW()-1)</f>
        <v/>
      </c>
      <c r="B9" s="16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7" t="n"/>
      <c r="M9" s="17" t="n"/>
      <c r="N9" s="17">
        <f>IFERROR(IF(AND(L9&lt;&gt;"",M9&lt;&gt;""),M9-L9,""),"")</f>
        <v/>
      </c>
      <c r="O9" s="17" t="n"/>
      <c r="P9" s="17" t="n"/>
      <c r="Q9" s="16" t="n"/>
      <c r="R9" s="15" t="n"/>
      <c r="S9" s="15" t="n"/>
      <c r="T9" s="15" t="n"/>
      <c r="U9" s="17" t="n"/>
      <c r="V9" s="17" t="n"/>
      <c r="W9" s="18">
        <f>IFERROR(V9/(U9*T9),"")</f>
        <v/>
      </c>
      <c r="X9" s="18" t="n"/>
      <c r="Y9" s="15" t="n"/>
      <c r="Z9" s="15" t="n"/>
    </row>
    <row r="10">
      <c r="A10" s="15">
        <f>IF(B10="","",ROW()-1)</f>
        <v/>
      </c>
      <c r="B10" s="16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7" t="n"/>
      <c r="M10" s="17" t="n"/>
      <c r="N10" s="17">
        <f>IFERROR(IF(AND(L10&lt;&gt;"",M10&lt;&gt;""),M10-L10,""),"")</f>
        <v/>
      </c>
      <c r="O10" s="17" t="n"/>
      <c r="P10" s="17" t="n"/>
      <c r="Q10" s="16" t="n"/>
      <c r="R10" s="15" t="n"/>
      <c r="S10" s="15" t="n"/>
      <c r="T10" s="15" t="n"/>
      <c r="U10" s="17" t="n"/>
      <c r="V10" s="17" t="n"/>
      <c r="W10" s="18">
        <f>IFERROR(V10/(U10*T10),"")</f>
        <v/>
      </c>
      <c r="X10" s="18" t="n"/>
      <c r="Y10" s="15" t="n"/>
      <c r="Z10" s="15" t="n"/>
    </row>
    <row r="11">
      <c r="A11" s="15">
        <f>IF(B11="","",ROW()-1)</f>
        <v/>
      </c>
      <c r="B11" s="16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7" t="n"/>
      <c r="M11" s="17" t="n"/>
      <c r="N11" s="17">
        <f>IFERROR(IF(AND(L11&lt;&gt;"",M11&lt;&gt;""),M11-L11,""),"")</f>
        <v/>
      </c>
      <c r="O11" s="17" t="n"/>
      <c r="P11" s="17" t="n"/>
      <c r="Q11" s="16" t="n"/>
      <c r="R11" s="15" t="n"/>
      <c r="S11" s="15" t="n"/>
      <c r="T11" s="15" t="n"/>
      <c r="U11" s="17" t="n"/>
      <c r="V11" s="17" t="n"/>
      <c r="W11" s="18">
        <f>IFERROR(V11/(U11*T11),"")</f>
        <v/>
      </c>
      <c r="X11" s="18" t="n"/>
      <c r="Y11" s="15" t="n"/>
      <c r="Z11" s="15" t="n"/>
    </row>
    <row r="12">
      <c r="A12" s="15">
        <f>IF(B12="","",ROW()-1)</f>
        <v/>
      </c>
      <c r="B12" s="16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7" t="n"/>
      <c r="M12" s="17" t="n"/>
      <c r="N12" s="17">
        <f>IFERROR(IF(AND(L12&lt;&gt;"",M12&lt;&gt;""),M12-L12,""),"")</f>
        <v/>
      </c>
      <c r="O12" s="17" t="n"/>
      <c r="P12" s="17" t="n"/>
      <c r="Q12" s="16" t="n"/>
      <c r="R12" s="15" t="n"/>
      <c r="S12" s="15" t="n"/>
      <c r="T12" s="15" t="n"/>
      <c r="U12" s="17" t="n"/>
      <c r="V12" s="17" t="n"/>
      <c r="W12" s="18">
        <f>IFERROR(V12/(U12*T12),"")</f>
        <v/>
      </c>
      <c r="X12" s="18" t="n"/>
      <c r="Y12" s="15" t="n"/>
      <c r="Z12" s="15" t="n"/>
    </row>
    <row r="13">
      <c r="A13" s="15">
        <f>IF(B13="","",ROW()-1)</f>
        <v/>
      </c>
      <c r="B13" s="16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7" t="n"/>
      <c r="M13" s="17" t="n"/>
      <c r="N13" s="17">
        <f>IFERROR(IF(AND(L13&lt;&gt;"",M13&lt;&gt;""),M13-L13,""),"")</f>
        <v/>
      </c>
      <c r="O13" s="17" t="n"/>
      <c r="P13" s="17" t="n"/>
      <c r="Q13" s="16" t="n"/>
      <c r="R13" s="15" t="n"/>
      <c r="S13" s="15" t="n"/>
      <c r="T13" s="15" t="n"/>
      <c r="U13" s="17" t="n"/>
      <c r="V13" s="17" t="n"/>
      <c r="W13" s="18">
        <f>IFERROR(V13/(U13*T13),"")</f>
        <v/>
      </c>
      <c r="X13" s="18" t="n"/>
      <c r="Y13" s="15" t="n"/>
      <c r="Z13" s="15" t="n"/>
    </row>
    <row r="14">
      <c r="A14" s="15">
        <f>IF(B14="","",ROW()-1)</f>
        <v/>
      </c>
      <c r="B14" s="1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7" t="n"/>
      <c r="M14" s="17" t="n"/>
      <c r="N14" s="17">
        <f>IFERROR(IF(AND(L14&lt;&gt;"",M14&lt;&gt;""),M14-L14,""),"")</f>
        <v/>
      </c>
      <c r="O14" s="17" t="n"/>
      <c r="P14" s="17" t="n"/>
      <c r="Q14" s="16" t="n"/>
      <c r="R14" s="15" t="n"/>
      <c r="S14" s="15" t="n"/>
      <c r="T14" s="15" t="n"/>
      <c r="U14" s="17" t="n"/>
      <c r="V14" s="17" t="n"/>
      <c r="W14" s="18">
        <f>IFERROR(V14/(U14*T14),"")</f>
        <v/>
      </c>
      <c r="X14" s="18" t="n"/>
      <c r="Y14" s="15" t="n"/>
      <c r="Z14" s="15" t="n"/>
    </row>
    <row r="15">
      <c r="A15" s="15">
        <f>IF(B15="","",ROW()-1)</f>
        <v/>
      </c>
      <c r="B15" s="16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7" t="n"/>
      <c r="M15" s="17" t="n"/>
      <c r="N15" s="17">
        <f>IFERROR(IF(AND(L15&lt;&gt;"",M15&lt;&gt;""),M15-L15,""),"")</f>
        <v/>
      </c>
      <c r="O15" s="17" t="n"/>
      <c r="P15" s="17" t="n"/>
      <c r="Q15" s="16" t="n"/>
      <c r="R15" s="15" t="n"/>
      <c r="S15" s="15" t="n"/>
      <c r="T15" s="15" t="n"/>
      <c r="U15" s="17" t="n"/>
      <c r="V15" s="17" t="n"/>
      <c r="W15" s="18">
        <f>IFERROR(V15/(U15*T15),"")</f>
        <v/>
      </c>
      <c r="X15" s="18" t="n"/>
      <c r="Y15" s="15" t="n"/>
      <c r="Z15" s="15" t="n"/>
    </row>
    <row r="16">
      <c r="A16" s="15">
        <f>IF(B16="","",ROW()-1)</f>
        <v/>
      </c>
      <c r="B16" s="16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7" t="n"/>
      <c r="M16" s="17" t="n"/>
      <c r="N16" s="17">
        <f>IFERROR(IF(AND(L16&lt;&gt;"",M16&lt;&gt;""),M16-L16,""),"")</f>
        <v/>
      </c>
      <c r="O16" s="17" t="n"/>
      <c r="P16" s="17" t="n"/>
      <c r="Q16" s="16" t="n"/>
      <c r="R16" s="15" t="n"/>
      <c r="S16" s="15" t="n"/>
      <c r="T16" s="15" t="n"/>
      <c r="U16" s="17" t="n"/>
      <c r="V16" s="17" t="n"/>
      <c r="W16" s="18">
        <f>IFERROR(V16/(U16*T16),"")</f>
        <v/>
      </c>
      <c r="X16" s="18" t="n"/>
      <c r="Y16" s="15" t="n"/>
      <c r="Z16" s="15" t="n"/>
    </row>
    <row r="17">
      <c r="A17" s="15">
        <f>IF(B17="","",ROW()-1)</f>
        <v/>
      </c>
      <c r="B17" s="16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7" t="n"/>
      <c r="M17" s="17" t="n"/>
      <c r="N17" s="17">
        <f>IFERROR(IF(AND(L17&lt;&gt;"",M17&lt;&gt;""),M17-L17,""),"")</f>
        <v/>
      </c>
      <c r="O17" s="17" t="n"/>
      <c r="P17" s="17" t="n"/>
      <c r="Q17" s="16" t="n"/>
      <c r="R17" s="15" t="n"/>
      <c r="S17" s="15" t="n"/>
      <c r="T17" s="15" t="n"/>
      <c r="U17" s="17" t="n"/>
      <c r="V17" s="17" t="n"/>
      <c r="W17" s="18">
        <f>IFERROR(V17/(U17*T17),"")</f>
        <v/>
      </c>
      <c r="X17" s="18" t="n"/>
      <c r="Y17" s="15" t="n"/>
      <c r="Z17" s="15" t="n"/>
    </row>
    <row r="18">
      <c r="A18" s="15">
        <f>IF(B18="","",ROW()-1)</f>
        <v/>
      </c>
      <c r="B18" s="1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7" t="n"/>
      <c r="M18" s="17" t="n"/>
      <c r="N18" s="17">
        <f>IFERROR(IF(AND(L18&lt;&gt;"",M18&lt;&gt;""),M18-L18,""),"")</f>
        <v/>
      </c>
      <c r="O18" s="17" t="n"/>
      <c r="P18" s="17" t="n"/>
      <c r="Q18" s="16" t="n"/>
      <c r="R18" s="15" t="n"/>
      <c r="S18" s="15" t="n"/>
      <c r="T18" s="15" t="n"/>
      <c r="U18" s="17" t="n"/>
      <c r="V18" s="17" t="n"/>
      <c r="W18" s="18">
        <f>IFERROR(V18/(U18*T18),"")</f>
        <v/>
      </c>
      <c r="X18" s="18" t="n"/>
      <c r="Y18" s="15" t="n"/>
      <c r="Z18" s="15" t="n"/>
    </row>
    <row r="19">
      <c r="A19" s="15">
        <f>IF(B19="","",ROW()-1)</f>
        <v/>
      </c>
      <c r="B19" s="16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7" t="n"/>
      <c r="M19" s="17" t="n"/>
      <c r="N19" s="17">
        <f>IFERROR(IF(AND(L19&lt;&gt;"",M19&lt;&gt;""),M19-L19,""),"")</f>
        <v/>
      </c>
      <c r="O19" s="17" t="n"/>
      <c r="P19" s="17" t="n"/>
      <c r="Q19" s="16" t="n"/>
      <c r="R19" s="15" t="n"/>
      <c r="S19" s="15" t="n"/>
      <c r="T19" s="15" t="n"/>
      <c r="U19" s="17" t="n"/>
      <c r="V19" s="17" t="n"/>
      <c r="W19" s="18">
        <f>IFERROR(V19/(U19*T19),"")</f>
        <v/>
      </c>
      <c r="X19" s="18" t="n"/>
      <c r="Y19" s="15" t="n"/>
      <c r="Z19" s="15" t="n"/>
    </row>
    <row r="20">
      <c r="A20" s="15">
        <f>IF(B20="","",ROW()-1)</f>
        <v/>
      </c>
      <c r="B20" s="16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7" t="n"/>
      <c r="M20" s="17" t="n"/>
      <c r="N20" s="17">
        <f>IFERROR(IF(AND(L20&lt;&gt;"",M20&lt;&gt;""),M20-L20,""),"")</f>
        <v/>
      </c>
      <c r="O20" s="17" t="n"/>
      <c r="P20" s="17" t="n"/>
      <c r="Q20" s="16" t="n"/>
      <c r="R20" s="15" t="n"/>
      <c r="S20" s="15" t="n"/>
      <c r="T20" s="15" t="n"/>
      <c r="U20" s="17" t="n"/>
      <c r="V20" s="17" t="n"/>
      <c r="W20" s="18">
        <f>IFERROR(V20/(U20*T20),"")</f>
        <v/>
      </c>
      <c r="X20" s="18" t="n"/>
      <c r="Y20" s="15" t="n"/>
      <c r="Z20" s="15" t="n"/>
    </row>
    <row r="21">
      <c r="A21" s="15">
        <f>IF(B21="","",ROW()-1)</f>
        <v/>
      </c>
      <c r="B21" s="16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7" t="n"/>
      <c r="M21" s="17" t="n"/>
      <c r="N21" s="17">
        <f>IFERROR(IF(AND(L21&lt;&gt;"",M21&lt;&gt;""),M21-L21,""),"")</f>
        <v/>
      </c>
      <c r="O21" s="17" t="n"/>
      <c r="P21" s="17" t="n"/>
      <c r="Q21" s="16" t="n"/>
      <c r="R21" s="15" t="n"/>
      <c r="S21" s="15" t="n"/>
      <c r="T21" s="15" t="n"/>
      <c r="U21" s="17" t="n"/>
      <c r="V21" s="17" t="n"/>
      <c r="W21" s="18">
        <f>IFERROR(V21/(U21*T21),"")</f>
        <v/>
      </c>
      <c r="X21" s="18" t="n"/>
      <c r="Y21" s="15" t="n"/>
      <c r="Z21" s="15" t="n"/>
    </row>
    <row r="22">
      <c r="A22" s="15">
        <f>IF(B22="","",ROW()-1)</f>
        <v/>
      </c>
      <c r="B22" s="16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7" t="n"/>
      <c r="M22" s="17" t="n"/>
      <c r="N22" s="17">
        <f>IFERROR(IF(AND(L22&lt;&gt;"",M22&lt;&gt;""),M22-L22,""),"")</f>
        <v/>
      </c>
      <c r="O22" s="17" t="n"/>
      <c r="P22" s="17" t="n"/>
      <c r="Q22" s="16" t="n"/>
      <c r="R22" s="15" t="n"/>
      <c r="S22" s="15" t="n"/>
      <c r="T22" s="15" t="n"/>
      <c r="U22" s="17" t="n"/>
      <c r="V22" s="17" t="n"/>
      <c r="W22" s="18">
        <f>IFERROR(V22/(U22*T22),"")</f>
        <v/>
      </c>
      <c r="X22" s="18" t="n"/>
      <c r="Y22" s="15" t="n"/>
      <c r="Z22" s="15" t="n"/>
    </row>
    <row r="23">
      <c r="A23" s="15">
        <f>IF(B23="","",ROW()-1)</f>
        <v/>
      </c>
      <c r="B23" s="16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7" t="n"/>
      <c r="M23" s="17" t="n"/>
      <c r="N23" s="17">
        <f>IFERROR(IF(AND(L23&lt;&gt;"",M23&lt;&gt;""),M23-L23,""),"")</f>
        <v/>
      </c>
      <c r="O23" s="17" t="n"/>
      <c r="P23" s="17" t="n"/>
      <c r="Q23" s="16" t="n"/>
      <c r="R23" s="15" t="n"/>
      <c r="S23" s="15" t="n"/>
      <c r="T23" s="15" t="n"/>
      <c r="U23" s="17" t="n"/>
      <c r="V23" s="17" t="n"/>
      <c r="W23" s="18">
        <f>IFERROR(V23/(U23*T23),"")</f>
        <v/>
      </c>
      <c r="X23" s="18" t="n"/>
      <c r="Y23" s="15" t="n"/>
      <c r="Z23" s="15" t="n"/>
    </row>
    <row r="24">
      <c r="A24" s="15">
        <f>IF(B24="","",ROW()-1)</f>
        <v/>
      </c>
      <c r="B24" s="1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7" t="n"/>
      <c r="M24" s="17" t="n"/>
      <c r="N24" s="17">
        <f>IFERROR(IF(AND(L24&lt;&gt;"",M24&lt;&gt;""),M24-L24,""),"")</f>
        <v/>
      </c>
      <c r="O24" s="17" t="n"/>
      <c r="P24" s="17" t="n"/>
      <c r="Q24" s="16" t="n"/>
      <c r="R24" s="15" t="n"/>
      <c r="S24" s="15" t="n"/>
      <c r="T24" s="15" t="n"/>
      <c r="U24" s="17" t="n"/>
      <c r="V24" s="17" t="n"/>
      <c r="W24" s="18">
        <f>IFERROR(V24/(U24*T24),"")</f>
        <v/>
      </c>
      <c r="X24" s="18" t="n"/>
      <c r="Y24" s="15" t="n"/>
      <c r="Z24" s="15" t="n"/>
    </row>
    <row r="25">
      <c r="A25" s="15">
        <f>IF(B25="","",ROW()-1)</f>
        <v/>
      </c>
      <c r="B25" s="16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7" t="n"/>
      <c r="M25" s="17" t="n"/>
      <c r="N25" s="17">
        <f>IFERROR(IF(AND(L25&lt;&gt;"",M25&lt;&gt;""),M25-L25,""),"")</f>
        <v/>
      </c>
      <c r="O25" s="17" t="n"/>
      <c r="P25" s="17" t="n"/>
      <c r="Q25" s="16" t="n"/>
      <c r="R25" s="15" t="n"/>
      <c r="S25" s="15" t="n"/>
      <c r="T25" s="15" t="n"/>
      <c r="U25" s="17" t="n"/>
      <c r="V25" s="17" t="n"/>
      <c r="W25" s="18">
        <f>IFERROR(V25/(U25*T25),"")</f>
        <v/>
      </c>
      <c r="X25" s="18" t="n"/>
      <c r="Y25" s="15" t="n"/>
      <c r="Z25" s="15" t="n"/>
    </row>
    <row r="26">
      <c r="A26" s="15">
        <f>IF(B26="","",ROW()-1)</f>
        <v/>
      </c>
      <c r="B26" s="16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7" t="n"/>
      <c r="M26" s="17" t="n"/>
      <c r="N26" s="17">
        <f>IFERROR(IF(AND(L26&lt;&gt;"",M26&lt;&gt;""),M26-L26,""),"")</f>
        <v/>
      </c>
      <c r="O26" s="17" t="n"/>
      <c r="P26" s="17" t="n"/>
      <c r="Q26" s="16" t="n"/>
      <c r="R26" s="15" t="n"/>
      <c r="S26" s="15" t="n"/>
      <c r="T26" s="15" t="n"/>
      <c r="U26" s="17" t="n"/>
      <c r="V26" s="17" t="n"/>
      <c r="W26" s="18">
        <f>IFERROR(V26/(U26*T26),"")</f>
        <v/>
      </c>
      <c r="X26" s="18" t="n"/>
      <c r="Y26" s="15" t="n"/>
      <c r="Z26" s="15" t="n"/>
    </row>
    <row r="27">
      <c r="A27" s="15">
        <f>IF(B27="","",ROW()-1)</f>
        <v/>
      </c>
      <c r="B27" s="1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7" t="n"/>
      <c r="M27" s="17" t="n"/>
      <c r="N27" s="17">
        <f>IFERROR(IF(AND(L27&lt;&gt;"",M27&lt;&gt;""),M27-L27,""),"")</f>
        <v/>
      </c>
      <c r="O27" s="17" t="n"/>
      <c r="P27" s="17" t="n"/>
      <c r="Q27" s="16" t="n"/>
      <c r="R27" s="15" t="n"/>
      <c r="S27" s="15" t="n"/>
      <c r="T27" s="15" t="n"/>
      <c r="U27" s="17" t="n"/>
      <c r="V27" s="17" t="n"/>
      <c r="W27" s="18">
        <f>IFERROR(V27/(U27*T27),"")</f>
        <v/>
      </c>
      <c r="X27" s="18" t="n"/>
      <c r="Y27" s="15" t="n"/>
      <c r="Z27" s="15" t="n"/>
    </row>
    <row r="28">
      <c r="A28" s="15">
        <f>IF(B28="","",ROW()-1)</f>
        <v/>
      </c>
      <c r="B28" s="16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7" t="n"/>
      <c r="M28" s="17" t="n"/>
      <c r="N28" s="17">
        <f>IFERROR(IF(AND(L28&lt;&gt;"",M28&lt;&gt;""),M28-L28,""),"")</f>
        <v/>
      </c>
      <c r="O28" s="17" t="n"/>
      <c r="P28" s="17" t="n"/>
      <c r="Q28" s="16" t="n"/>
      <c r="R28" s="15" t="n"/>
      <c r="S28" s="15" t="n"/>
      <c r="T28" s="15" t="n"/>
      <c r="U28" s="17" t="n"/>
      <c r="V28" s="17" t="n"/>
      <c r="W28" s="18">
        <f>IFERROR(V28/(U28*T28),"")</f>
        <v/>
      </c>
      <c r="X28" s="18" t="n"/>
      <c r="Y28" s="15" t="n"/>
      <c r="Z28" s="15" t="n"/>
    </row>
    <row r="29">
      <c r="A29" s="15">
        <f>IF(B29="","",ROW()-1)</f>
        <v/>
      </c>
      <c r="B29" s="16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7" t="n"/>
      <c r="M29" s="17" t="n"/>
      <c r="N29" s="17">
        <f>IFERROR(IF(AND(L29&lt;&gt;"",M29&lt;&gt;""),M29-L29,""),"")</f>
        <v/>
      </c>
      <c r="O29" s="17" t="n"/>
      <c r="P29" s="17" t="n"/>
      <c r="Q29" s="16" t="n"/>
      <c r="R29" s="15" t="n"/>
      <c r="S29" s="15" t="n"/>
      <c r="T29" s="15" t="n"/>
      <c r="U29" s="17" t="n"/>
      <c r="V29" s="17" t="n"/>
      <c r="W29" s="18">
        <f>IFERROR(V29/(U29*T29),"")</f>
        <v/>
      </c>
      <c r="X29" s="18" t="n"/>
      <c r="Y29" s="15" t="n"/>
      <c r="Z29" s="15" t="n"/>
    </row>
    <row r="30">
      <c r="A30" s="15">
        <f>IF(B30="","",ROW()-1)</f>
        <v/>
      </c>
      <c r="B30" s="16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7" t="n"/>
      <c r="M30" s="17" t="n"/>
      <c r="N30" s="17">
        <f>IFERROR(IF(AND(L30&lt;&gt;"",M30&lt;&gt;""),M30-L30,""),"")</f>
        <v/>
      </c>
      <c r="O30" s="17" t="n"/>
      <c r="P30" s="17" t="n"/>
      <c r="Q30" s="16" t="n"/>
      <c r="R30" s="15" t="n"/>
      <c r="S30" s="15" t="n"/>
      <c r="T30" s="15" t="n"/>
      <c r="U30" s="17" t="n"/>
      <c r="V30" s="17" t="n"/>
      <c r="W30" s="18">
        <f>IFERROR(V30/(U30*T30),"")</f>
        <v/>
      </c>
      <c r="X30" s="18" t="n"/>
      <c r="Y30" s="15" t="n"/>
      <c r="Z30" s="15" t="n"/>
    </row>
    <row r="31">
      <c r="A31" s="15">
        <f>IF(B31="","",ROW()-1)</f>
        <v/>
      </c>
      <c r="B31" s="16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7" t="n"/>
      <c r="M31" s="17" t="n"/>
      <c r="N31" s="17">
        <f>IFERROR(IF(AND(L31&lt;&gt;"",M31&lt;&gt;""),M31-L31,""),"")</f>
        <v/>
      </c>
      <c r="O31" s="17" t="n"/>
      <c r="P31" s="17" t="n"/>
      <c r="Q31" s="16" t="n"/>
      <c r="R31" s="15" t="n"/>
      <c r="S31" s="15" t="n"/>
      <c r="T31" s="15" t="n"/>
      <c r="U31" s="17" t="n"/>
      <c r="V31" s="17" t="n"/>
      <c r="W31" s="18">
        <f>IFERROR(V31/(U31*T31),"")</f>
        <v/>
      </c>
      <c r="X31" s="18" t="n"/>
      <c r="Y31" s="15" t="n"/>
      <c r="Z31" s="15" t="n"/>
    </row>
    <row r="32">
      <c r="A32" s="15">
        <f>IF(B32="","",ROW()-1)</f>
        <v/>
      </c>
      <c r="B32" s="16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7" t="n"/>
      <c r="M32" s="17" t="n"/>
      <c r="N32" s="17">
        <f>IFERROR(IF(AND(L32&lt;&gt;"",M32&lt;&gt;""),M32-L32,""),"")</f>
        <v/>
      </c>
      <c r="O32" s="17" t="n"/>
      <c r="P32" s="17" t="n"/>
      <c r="Q32" s="16" t="n"/>
      <c r="R32" s="15" t="n"/>
      <c r="S32" s="15" t="n"/>
      <c r="T32" s="15" t="n"/>
      <c r="U32" s="17" t="n"/>
      <c r="V32" s="17" t="n"/>
      <c r="W32" s="18">
        <f>IFERROR(V32/(U32*T32),"")</f>
        <v/>
      </c>
      <c r="X32" s="18" t="n"/>
      <c r="Y32" s="15" t="n"/>
      <c r="Z32" s="15" t="n"/>
    </row>
    <row r="33">
      <c r="A33" s="15">
        <f>IF(B33="","",ROW()-1)</f>
        <v/>
      </c>
      <c r="B33" s="16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7" t="n"/>
      <c r="M33" s="17" t="n"/>
      <c r="N33" s="17">
        <f>IFERROR(IF(AND(L33&lt;&gt;"",M33&lt;&gt;""),M33-L33,""),"")</f>
        <v/>
      </c>
      <c r="O33" s="17" t="n"/>
      <c r="P33" s="17" t="n"/>
      <c r="Q33" s="16" t="n"/>
      <c r="R33" s="15" t="n"/>
      <c r="S33" s="15" t="n"/>
      <c r="T33" s="15" t="n"/>
      <c r="U33" s="17" t="n"/>
      <c r="V33" s="17" t="n"/>
      <c r="W33" s="18">
        <f>IFERROR(V33/(U33*T33),"")</f>
        <v/>
      </c>
      <c r="X33" s="18" t="n"/>
      <c r="Y33" s="15" t="n"/>
      <c r="Z33" s="15" t="n"/>
    </row>
    <row r="34">
      <c r="A34" s="15">
        <f>IF(B34="","",ROW()-1)</f>
        <v/>
      </c>
      <c r="B34" s="16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7" t="n"/>
      <c r="M34" s="17" t="n"/>
      <c r="N34" s="17">
        <f>IFERROR(IF(AND(L34&lt;&gt;"",M34&lt;&gt;""),M34-L34,""),"")</f>
        <v/>
      </c>
      <c r="O34" s="17" t="n"/>
      <c r="P34" s="17" t="n"/>
      <c r="Q34" s="16" t="n"/>
      <c r="R34" s="15" t="n"/>
      <c r="S34" s="15" t="n"/>
      <c r="T34" s="15" t="n"/>
      <c r="U34" s="17" t="n"/>
      <c r="V34" s="17" t="n"/>
      <c r="W34" s="18">
        <f>IFERROR(V34/(U34*T34),"")</f>
        <v/>
      </c>
      <c r="X34" s="18" t="n"/>
      <c r="Y34" s="15" t="n"/>
      <c r="Z34" s="15" t="n"/>
    </row>
    <row r="35">
      <c r="A35" s="15">
        <f>IF(B35="","",ROW()-1)</f>
        <v/>
      </c>
      <c r="B35" s="16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7" t="n"/>
      <c r="M35" s="17" t="n"/>
      <c r="N35" s="17">
        <f>IFERROR(IF(AND(L35&lt;&gt;"",M35&lt;&gt;""),M35-L35,""),"")</f>
        <v/>
      </c>
      <c r="O35" s="17" t="n"/>
      <c r="P35" s="17" t="n"/>
      <c r="Q35" s="16" t="n"/>
      <c r="R35" s="15" t="n"/>
      <c r="S35" s="15" t="n"/>
      <c r="T35" s="15" t="n"/>
      <c r="U35" s="17" t="n"/>
      <c r="V35" s="17" t="n"/>
      <c r="W35" s="18">
        <f>IFERROR(V35/(U35*T35),"")</f>
        <v/>
      </c>
      <c r="X35" s="18" t="n"/>
      <c r="Y35" s="15" t="n"/>
      <c r="Z35" s="15" t="n"/>
    </row>
    <row r="36">
      <c r="A36" s="15">
        <f>IF(B36="","",ROW()-1)</f>
        <v/>
      </c>
      <c r="B36" s="16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7" t="n"/>
      <c r="M36" s="17" t="n"/>
      <c r="N36" s="17">
        <f>IFERROR(IF(AND(L36&lt;&gt;"",M36&lt;&gt;""),M36-L36,""),"")</f>
        <v/>
      </c>
      <c r="O36" s="17" t="n"/>
      <c r="P36" s="17" t="n"/>
      <c r="Q36" s="16" t="n"/>
      <c r="R36" s="15" t="n"/>
      <c r="S36" s="15" t="n"/>
      <c r="T36" s="15" t="n"/>
      <c r="U36" s="17" t="n"/>
      <c r="V36" s="17" t="n"/>
      <c r="W36" s="18">
        <f>IFERROR(V36/(U36*T36),"")</f>
        <v/>
      </c>
      <c r="X36" s="18" t="n"/>
      <c r="Y36" s="15" t="n"/>
      <c r="Z36" s="15" t="n"/>
    </row>
    <row r="37">
      <c r="A37" s="15">
        <f>IF(B37="","",ROW()-1)</f>
        <v/>
      </c>
      <c r="B37" s="16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7" t="n"/>
      <c r="M37" s="17" t="n"/>
      <c r="N37" s="17">
        <f>IFERROR(IF(AND(L37&lt;&gt;"",M37&lt;&gt;""),M37-L37,""),"")</f>
        <v/>
      </c>
      <c r="O37" s="17" t="n"/>
      <c r="P37" s="17" t="n"/>
      <c r="Q37" s="16" t="n"/>
      <c r="R37" s="15" t="n"/>
      <c r="S37" s="15" t="n"/>
      <c r="T37" s="15" t="n"/>
      <c r="U37" s="17" t="n"/>
      <c r="V37" s="17" t="n"/>
      <c r="W37" s="18">
        <f>IFERROR(V37/(U37*T37),"")</f>
        <v/>
      </c>
      <c r="X37" s="18" t="n"/>
      <c r="Y37" s="15" t="n"/>
      <c r="Z37" s="15" t="n"/>
    </row>
    <row r="38">
      <c r="A38" s="15">
        <f>IF(B38="","",ROW()-1)</f>
        <v/>
      </c>
      <c r="B38" s="1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7" t="n"/>
      <c r="M38" s="17" t="n"/>
      <c r="N38" s="17">
        <f>IFERROR(IF(AND(L38&lt;&gt;"",M38&lt;&gt;""),M38-L38,""),"")</f>
        <v/>
      </c>
      <c r="O38" s="17" t="n"/>
      <c r="P38" s="17" t="n"/>
      <c r="Q38" s="16" t="n"/>
      <c r="R38" s="15" t="n"/>
      <c r="S38" s="15" t="n"/>
      <c r="T38" s="15" t="n"/>
      <c r="U38" s="17" t="n"/>
      <c r="V38" s="17" t="n"/>
      <c r="W38" s="18">
        <f>IFERROR(V38/(U38*T38),"")</f>
        <v/>
      </c>
      <c r="X38" s="18" t="n"/>
      <c r="Y38" s="15" t="n"/>
      <c r="Z38" s="15" t="n"/>
    </row>
    <row r="39">
      <c r="A39" s="15">
        <f>IF(B39="","",ROW()-1)</f>
        <v/>
      </c>
      <c r="B39" s="16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7" t="n"/>
      <c r="M39" s="17" t="n"/>
      <c r="N39" s="17">
        <f>IFERROR(IF(AND(L39&lt;&gt;"",M39&lt;&gt;""),M39-L39,""),"")</f>
        <v/>
      </c>
      <c r="O39" s="17" t="n"/>
      <c r="P39" s="17" t="n"/>
      <c r="Q39" s="16" t="n"/>
      <c r="R39" s="15" t="n"/>
      <c r="S39" s="15" t="n"/>
      <c r="T39" s="15" t="n"/>
      <c r="U39" s="17" t="n"/>
      <c r="V39" s="17" t="n"/>
      <c r="W39" s="18">
        <f>IFERROR(V39/(U39*T39),"")</f>
        <v/>
      </c>
      <c r="X39" s="18" t="n"/>
      <c r="Y39" s="15" t="n"/>
      <c r="Z39" s="15" t="n"/>
    </row>
    <row r="40">
      <c r="A40" s="15">
        <f>IF(B40="","",ROW()-1)</f>
        <v/>
      </c>
      <c r="B40" s="16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7" t="n"/>
      <c r="M40" s="17" t="n"/>
      <c r="N40" s="17">
        <f>IFERROR(IF(AND(L40&lt;&gt;"",M40&lt;&gt;""),M40-L40,""),"")</f>
        <v/>
      </c>
      <c r="O40" s="17" t="n"/>
      <c r="P40" s="17" t="n"/>
      <c r="Q40" s="16" t="n"/>
      <c r="R40" s="15" t="n"/>
      <c r="S40" s="15" t="n"/>
      <c r="T40" s="15" t="n"/>
      <c r="U40" s="17" t="n"/>
      <c r="V40" s="17" t="n"/>
      <c r="W40" s="18">
        <f>IFERROR(V40/(U40*T40),"")</f>
        <v/>
      </c>
      <c r="X40" s="18" t="n"/>
      <c r="Y40" s="15" t="n"/>
      <c r="Z40" s="15" t="n"/>
    </row>
    <row r="41">
      <c r="A41" s="15">
        <f>IF(B41="","",ROW()-1)</f>
        <v/>
      </c>
      <c r="B41" s="16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7" t="n"/>
      <c r="M41" s="17" t="n"/>
      <c r="N41" s="17">
        <f>IFERROR(IF(AND(L41&lt;&gt;"",M41&lt;&gt;""),M41-L41,""),"")</f>
        <v/>
      </c>
      <c r="O41" s="17" t="n"/>
      <c r="P41" s="17" t="n"/>
      <c r="Q41" s="16" t="n"/>
      <c r="R41" s="15" t="n"/>
      <c r="S41" s="15" t="n"/>
      <c r="T41" s="15" t="n"/>
      <c r="U41" s="17" t="n"/>
      <c r="V41" s="17" t="n"/>
      <c r="W41" s="18">
        <f>IFERROR(V41/(U41*T41),"")</f>
        <v/>
      </c>
      <c r="X41" s="18" t="n"/>
      <c r="Y41" s="15" t="n"/>
      <c r="Z41" s="15" t="n"/>
    </row>
    <row r="42">
      <c r="A42" s="15">
        <f>IF(B42="","",ROW()-1)</f>
        <v/>
      </c>
      <c r="B42" s="16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7" t="n"/>
      <c r="M42" s="17" t="n"/>
      <c r="N42" s="17">
        <f>IFERROR(IF(AND(L42&lt;&gt;"",M42&lt;&gt;""),M42-L42,""),"")</f>
        <v/>
      </c>
      <c r="O42" s="17" t="n"/>
      <c r="P42" s="17" t="n"/>
      <c r="Q42" s="16" t="n"/>
      <c r="R42" s="15" t="n"/>
      <c r="S42" s="15" t="n"/>
      <c r="T42" s="15" t="n"/>
      <c r="U42" s="17" t="n"/>
      <c r="V42" s="17" t="n"/>
      <c r="W42" s="18">
        <f>IFERROR(V42/(U42*T42),"")</f>
        <v/>
      </c>
      <c r="X42" s="18" t="n"/>
      <c r="Y42" s="15" t="n"/>
      <c r="Z42" s="15" t="n"/>
    </row>
    <row r="43">
      <c r="A43" s="15">
        <f>IF(B43="","",ROW()-1)</f>
        <v/>
      </c>
      <c r="B43" s="16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7" t="n"/>
      <c r="M43" s="17" t="n"/>
      <c r="N43" s="17">
        <f>IFERROR(IF(AND(L43&lt;&gt;"",M43&lt;&gt;""),M43-L43,""),"")</f>
        <v/>
      </c>
      <c r="O43" s="17" t="n"/>
      <c r="P43" s="17" t="n"/>
      <c r="Q43" s="16" t="n"/>
      <c r="R43" s="15" t="n"/>
      <c r="S43" s="15" t="n"/>
      <c r="T43" s="15" t="n"/>
      <c r="U43" s="17" t="n"/>
      <c r="V43" s="17" t="n"/>
      <c r="W43" s="18">
        <f>IFERROR(V43/(U43*T43),"")</f>
        <v/>
      </c>
      <c r="X43" s="18" t="n"/>
      <c r="Y43" s="15" t="n"/>
      <c r="Z43" s="15" t="n"/>
    </row>
    <row r="44">
      <c r="A44" s="15">
        <f>IF(B44="","",ROW()-1)</f>
        <v/>
      </c>
      <c r="B44" s="16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7" t="n"/>
      <c r="M44" s="17" t="n"/>
      <c r="N44" s="17">
        <f>IFERROR(IF(AND(L44&lt;&gt;"",M44&lt;&gt;""),M44-L44,""),"")</f>
        <v/>
      </c>
      <c r="O44" s="17" t="n"/>
      <c r="P44" s="17" t="n"/>
      <c r="Q44" s="16" t="n"/>
      <c r="R44" s="15" t="n"/>
      <c r="S44" s="15" t="n"/>
      <c r="T44" s="15" t="n"/>
      <c r="U44" s="17" t="n"/>
      <c r="V44" s="17" t="n"/>
      <c r="W44" s="18">
        <f>IFERROR(V44/(U44*T44),"")</f>
        <v/>
      </c>
      <c r="X44" s="18" t="n"/>
      <c r="Y44" s="15" t="n"/>
      <c r="Z44" s="15" t="n"/>
    </row>
    <row r="45">
      <c r="A45" s="15">
        <f>IF(B45="","",ROW()-1)</f>
        <v/>
      </c>
      <c r="B45" s="16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7" t="n"/>
      <c r="M45" s="17" t="n"/>
      <c r="N45" s="17">
        <f>IFERROR(IF(AND(L45&lt;&gt;"",M45&lt;&gt;""),M45-L45,""),"")</f>
        <v/>
      </c>
      <c r="O45" s="17" t="n"/>
      <c r="P45" s="17" t="n"/>
      <c r="Q45" s="16" t="n"/>
      <c r="R45" s="15" t="n"/>
      <c r="S45" s="15" t="n"/>
      <c r="T45" s="15" t="n"/>
      <c r="U45" s="17" t="n"/>
      <c r="V45" s="17" t="n"/>
      <c r="W45" s="18">
        <f>IFERROR(V45/(U45*T45),"")</f>
        <v/>
      </c>
      <c r="X45" s="18" t="n"/>
      <c r="Y45" s="15" t="n"/>
      <c r="Z45" s="15" t="n"/>
    </row>
    <row r="46">
      <c r="A46" s="15">
        <f>IF(B46="","",ROW()-1)</f>
        <v/>
      </c>
      <c r="B46" s="16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7" t="n"/>
      <c r="M46" s="17" t="n"/>
      <c r="N46" s="17">
        <f>IFERROR(IF(AND(L46&lt;&gt;"",M46&lt;&gt;""),M46-L46,""),"")</f>
        <v/>
      </c>
      <c r="O46" s="17" t="n"/>
      <c r="P46" s="17" t="n"/>
      <c r="Q46" s="16" t="n"/>
      <c r="R46" s="15" t="n"/>
      <c r="S46" s="15" t="n"/>
      <c r="T46" s="15" t="n"/>
      <c r="U46" s="17" t="n"/>
      <c r="V46" s="17" t="n"/>
      <c r="W46" s="18">
        <f>IFERROR(V46/(U46*T46),"")</f>
        <v/>
      </c>
      <c r="X46" s="18" t="n"/>
      <c r="Y46" s="15" t="n"/>
      <c r="Z46" s="15" t="n"/>
    </row>
    <row r="47">
      <c r="A47" s="15">
        <f>IF(B47="","",ROW()-1)</f>
        <v/>
      </c>
      <c r="B47" s="16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7" t="n"/>
      <c r="M47" s="17" t="n"/>
      <c r="N47" s="17">
        <f>IFERROR(IF(AND(L47&lt;&gt;"",M47&lt;&gt;""),M47-L47,""),"")</f>
        <v/>
      </c>
      <c r="O47" s="17" t="n"/>
      <c r="P47" s="17" t="n"/>
      <c r="Q47" s="16" t="n"/>
      <c r="R47" s="15" t="n"/>
      <c r="S47" s="15" t="n"/>
      <c r="T47" s="15" t="n"/>
      <c r="U47" s="17" t="n"/>
      <c r="V47" s="17" t="n"/>
      <c r="W47" s="18">
        <f>IFERROR(V47/(U47*T47),"")</f>
        <v/>
      </c>
      <c r="X47" s="18" t="n"/>
      <c r="Y47" s="15" t="n"/>
      <c r="Z47" s="15" t="n"/>
    </row>
    <row r="48">
      <c r="A48" s="15">
        <f>IF(B48="","",ROW()-1)</f>
        <v/>
      </c>
      <c r="B48" s="16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7" t="n"/>
      <c r="M48" s="17" t="n"/>
      <c r="N48" s="17">
        <f>IFERROR(IF(AND(L48&lt;&gt;"",M48&lt;&gt;""),M48-L48,""),"")</f>
        <v/>
      </c>
      <c r="O48" s="17" t="n"/>
      <c r="P48" s="17" t="n"/>
      <c r="Q48" s="16" t="n"/>
      <c r="R48" s="15" t="n"/>
      <c r="S48" s="15" t="n"/>
      <c r="T48" s="15" t="n"/>
      <c r="U48" s="17" t="n"/>
      <c r="V48" s="17" t="n"/>
      <c r="W48" s="18">
        <f>IFERROR(V48/(U48*T48),"")</f>
        <v/>
      </c>
      <c r="X48" s="18" t="n"/>
      <c r="Y48" s="15" t="n"/>
      <c r="Z48" s="15" t="n"/>
    </row>
    <row r="49">
      <c r="A49" s="15">
        <f>IF(B49="","",ROW()-1)</f>
        <v/>
      </c>
      <c r="B49" s="16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7" t="n"/>
      <c r="M49" s="17" t="n"/>
      <c r="N49" s="17">
        <f>IFERROR(IF(AND(L49&lt;&gt;"",M49&lt;&gt;""),M49-L49,""),"")</f>
        <v/>
      </c>
      <c r="O49" s="17" t="n"/>
      <c r="P49" s="17" t="n"/>
      <c r="Q49" s="16" t="n"/>
      <c r="R49" s="15" t="n"/>
      <c r="S49" s="15" t="n"/>
      <c r="T49" s="15" t="n"/>
      <c r="U49" s="17" t="n"/>
      <c r="V49" s="17" t="n"/>
      <c r="W49" s="18">
        <f>IFERROR(V49/(U49*T49),"")</f>
        <v/>
      </c>
      <c r="X49" s="18" t="n"/>
      <c r="Y49" s="15" t="n"/>
      <c r="Z49" s="15" t="n"/>
    </row>
    <row r="50">
      <c r="A50" s="15">
        <f>IF(B50="","",ROW()-1)</f>
        <v/>
      </c>
      <c r="B50" s="16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7" t="n"/>
      <c r="M50" s="17" t="n"/>
      <c r="N50" s="17">
        <f>IFERROR(IF(AND(L50&lt;&gt;"",M50&lt;&gt;""),M50-L50,""),"")</f>
        <v/>
      </c>
      <c r="O50" s="17" t="n"/>
      <c r="P50" s="17" t="n"/>
      <c r="Q50" s="16" t="n"/>
      <c r="R50" s="15" t="n"/>
      <c r="S50" s="15" t="n"/>
      <c r="T50" s="15" t="n"/>
      <c r="U50" s="17" t="n"/>
      <c r="V50" s="17" t="n"/>
      <c r="W50" s="18">
        <f>IFERROR(V50/(U50*T50),"")</f>
        <v/>
      </c>
      <c r="X50" s="18" t="n"/>
      <c r="Y50" s="15" t="n"/>
      <c r="Z50" s="15" t="n"/>
    </row>
    <row r="51">
      <c r="A51" s="15">
        <f>IF(B51="","",ROW()-1)</f>
        <v/>
      </c>
      <c r="B51" s="16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7" t="n"/>
      <c r="M51" s="17" t="n"/>
      <c r="N51" s="17">
        <f>IFERROR(IF(AND(L51&lt;&gt;"",M51&lt;&gt;""),M51-L51,""),"")</f>
        <v/>
      </c>
      <c r="O51" s="17" t="n"/>
      <c r="P51" s="17" t="n"/>
      <c r="Q51" s="16" t="n"/>
      <c r="R51" s="15" t="n"/>
      <c r="S51" s="15" t="n"/>
      <c r="T51" s="15" t="n"/>
      <c r="U51" s="17" t="n"/>
      <c r="V51" s="17" t="n"/>
      <c r="W51" s="18">
        <f>IFERROR(V51/(U51*T51),"")</f>
        <v/>
      </c>
      <c r="X51" s="18" t="n"/>
      <c r="Y51" s="15" t="n"/>
      <c r="Z51" s="15" t="n"/>
    </row>
  </sheetData>
  <conditionalFormatting sqref="E2:E51">
    <cfRule type="cellIs" priority="1" operator="equal" dxfId="0">
      <formula>"SÍ"</formula>
    </cfRule>
    <cfRule type="cellIs" priority="2" operator="equal" dxfId="4">
      <formula>"NO"</formula>
    </cfRule>
  </conditionalFormatting>
  <conditionalFormatting sqref="F2:F51">
    <cfRule type="cellIs" priority="3" operator="equal" dxfId="0">
      <formula>"SÍ"</formula>
    </cfRule>
    <cfRule type="cellIs" priority="4" operator="equal" dxfId="4">
      <formula>"NO"</formula>
    </cfRule>
  </conditionalFormatting>
  <conditionalFormatting sqref="G2:G51">
    <cfRule type="cellIs" priority="5" operator="equal" dxfId="0">
      <formula>"SÍ"</formula>
    </cfRule>
    <cfRule type="cellIs" priority="6" operator="equal" dxfId="4">
      <formula>"NO"</formula>
    </cfRule>
  </conditionalFormatting>
  <conditionalFormatting sqref="H2:H51">
    <cfRule type="cellIs" priority="7" operator="equal" dxfId="0">
      <formula>"SÍ"</formula>
    </cfRule>
    <cfRule type="cellIs" priority="8" operator="equal" dxfId="4">
      <formula>"NO"</formula>
    </cfRule>
  </conditionalFormatting>
  <conditionalFormatting sqref="I2:I51">
    <cfRule type="cellIs" priority="9" operator="equal" dxfId="0">
      <formula>"SÍ"</formula>
    </cfRule>
    <cfRule type="cellIs" priority="10" operator="equal" dxfId="4">
      <formula>"NO"</formula>
    </cfRule>
  </conditionalFormatting>
  <conditionalFormatting sqref="J2:J51">
    <cfRule type="cellIs" priority="11" operator="equal" dxfId="0">
      <formula>"SÍ"</formula>
    </cfRule>
    <cfRule type="cellIs" priority="12" operator="equal" dxfId="4">
      <formula>"NO"</formula>
    </cfRule>
  </conditionalFormatting>
  <conditionalFormatting sqref="K2:K51">
    <cfRule type="cellIs" priority="13" operator="equal" dxfId="0">
      <formula>"SÍ"</formula>
    </cfRule>
    <cfRule type="cellIs" priority="14" operator="equal" dxfId="4">
      <formula>"NO"</formula>
    </cfRule>
  </conditionalFormatting>
  <conditionalFormatting sqref="Y2:Y51">
    <cfRule type="cellIs" priority="15" operator="equal" dxfId="0">
      <formula>"Cerrado Ganador"</formula>
    </cfRule>
    <cfRule type="cellIs" priority="16" operator="equal" dxfId="4">
      <formula>"Cerrado Perdedor"</formula>
    </cfRule>
    <cfRule type="cellIs" priority="17" operator="equal" dxfId="1">
      <formula>"Abierto"</formula>
    </cfRule>
  </conditionalFormatting>
  <conditionalFormatting sqref="V2:V51">
    <cfRule type="cellIs" priority="18" operator="greaterThan" dxfId="2">
      <formula>0</formula>
    </cfRule>
    <cfRule type="cellIs" priority="19" operator="lessThan" dxfId="3">
      <formula>0</formula>
    </cfRule>
  </conditionalFormatting>
  <dataValidations count="3">
    <dataValidation sqref="E2:E51 F2:F51 G2:G51 H2:H51 I2:I51 J2:J51 K2:K51" showDropDown="0" showInputMessage="0" showErrorMessage="0" allowBlank="1" type="list">
      <formula1>"SÍ,NO"</formula1>
    </dataValidation>
    <dataValidation sqref="R2:R51" showDropDown="0" showInputMessage="0" showErrorMessage="0" allowBlank="1" type="list">
      <formula1>"CALL,PUT"</formula1>
    </dataValidation>
    <dataValidation sqref="Y2:Y51" showDropDown="0" showInputMessage="0" showErrorMessage="0" allowBlank="1" type="list">
      <formula1>"Abierto,Cerrado Ganador,Cerrado Perdedor,Cancelado"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9" t="inlineStr">
        <is>
          <t>ESTADÍSTICAS DEL JOURNAL</t>
        </is>
      </c>
    </row>
    <row r="2">
      <c r="A2" s="10" t="inlineStr">
        <is>
          <t>Total trades registrados</t>
        </is>
      </c>
      <c r="B2" s="20">
        <f>COUNTA('Trade Log'!B2:B51)</f>
        <v/>
      </c>
    </row>
    <row r="3">
      <c r="A3" s="10" t="inlineStr">
        <is>
          <t>Trades cerrados ganadores</t>
        </is>
      </c>
      <c r="B3" s="20">
        <f>COUNTIF('Trade Log'!Y2:Y51,"Cerrado Ganador")</f>
        <v/>
      </c>
    </row>
    <row r="4">
      <c r="A4" s="10" t="inlineStr">
        <is>
          <t>Trades cerrados perdedores</t>
        </is>
      </c>
      <c r="B4" s="20">
        <f>COUNTIF('Trade Log'!Y2:Y51,"Cerrado Perdedor")</f>
        <v/>
      </c>
    </row>
    <row r="5">
      <c r="A5" s="10" t="inlineStr">
        <is>
          <t>Trades abiertos</t>
        </is>
      </c>
      <c r="B5" s="20">
        <f>COUNTIF('Trade Log'!Y2:Y51,"Abierto")</f>
        <v/>
      </c>
    </row>
    <row r="6">
      <c r="A6" s="10" t="inlineStr">
        <is>
          <t>Win Rate %</t>
        </is>
      </c>
      <c r="B6" s="21">
        <f>IFERROR(B3/(B3+B4),0)</f>
        <v/>
      </c>
    </row>
    <row r="7">
      <c r="A7" s="10" t="inlineStr"/>
      <c r="B7" s="6" t="n"/>
    </row>
    <row r="8">
      <c r="A8" s="10" t="inlineStr">
        <is>
          <t>Rentabilidad total ($)</t>
        </is>
      </c>
      <c r="B8" s="17">
        <f>SUM('Trade Log'!V2:V51)</f>
        <v/>
      </c>
    </row>
    <row r="9">
      <c r="A9" s="10" t="inlineStr">
        <is>
          <t>Rentabilidad promedio ($)</t>
        </is>
      </c>
      <c r="B9" s="17">
        <f>IFERROR(AVERAGEIF('Trade Log'!V2:V51,"&lt;&gt;0"),0)</f>
        <v/>
      </c>
    </row>
    <row r="10">
      <c r="A10" s="10" t="inlineStr">
        <is>
          <t>Mayor ganancia ($)</t>
        </is>
      </c>
      <c r="B10" s="17">
        <f>IFERROR(MAX('Trade Log'!V2:V51),0)</f>
        <v/>
      </c>
    </row>
    <row r="11">
      <c r="A11" s="10" t="inlineStr">
        <is>
          <t>Mayor pérdida ($)</t>
        </is>
      </c>
      <c r="B11" s="17">
        <f>IFERROR(MIN('Trade Log'!V2:V51),0)</f>
        <v/>
      </c>
    </row>
    <row r="12">
      <c r="A12" s="10" t="inlineStr"/>
      <c r="B12" s="6" t="n"/>
    </row>
    <row r="13">
      <c r="A13" s="10" t="inlineStr">
        <is>
          <t>Gross Profit ($)</t>
        </is>
      </c>
      <c r="B13" s="17">
        <f>SUMIF('Trade Log'!V2:V51,"&gt;0")</f>
        <v/>
      </c>
    </row>
    <row r="14">
      <c r="A14" s="10" t="inlineStr">
        <is>
          <t>Gross Loss ($)</t>
        </is>
      </c>
      <c r="B14" s="17">
        <f>SUMIF('Trade Log'!V2:V51,"&lt;0")</f>
        <v/>
      </c>
    </row>
    <row r="15">
      <c r="A15" s="10" t="inlineStr">
        <is>
          <t>Profit Factor</t>
        </is>
      </c>
      <c r="B15" s="22">
        <f>IFERROR(B13/ABS(B14),0)</f>
        <v/>
      </c>
    </row>
    <row r="16">
      <c r="A16" s="10" t="inlineStr"/>
      <c r="B16" s="6" t="n"/>
    </row>
    <row r="17">
      <c r="A17" s="10" t="inlineStr">
        <is>
          <t>Rentabilidad % promedio</t>
        </is>
      </c>
      <c r="B17" s="18">
        <f>IFERROR(AVERAGEIF('Trade Log'!W2:W51,"&lt;&gt;0"),0)</f>
        <v/>
      </c>
    </row>
    <row r="18">
      <c r="A18" s="10" t="inlineStr">
        <is>
          <t>Plan % cumplido promedio</t>
        </is>
      </c>
      <c r="B18" s="18">
        <f>IFERROR(AVERAGEIF('Trade Log'!X2:X51,"&lt;&gt;0"),0)</f>
        <v/>
      </c>
    </row>
  </sheetData>
  <mergeCells count="1">
    <mergeCell ref="A1:B1"/>
  </mergeCells>
  <conditionalFormatting sqref="B6">
    <cfRule type="cellIs" priority="1" operator="greaterThanOrEqual" dxfId="0">
      <formula>0.5</formula>
    </cfRule>
    <cfRule type="cellIs" priority="2" operator="lessThan" dxfId="4">
      <formula>0.5</formula>
    </cfRule>
  </conditionalFormatting>
  <conditionalFormatting sqref="B15">
    <cfRule type="cellIs" priority="3" operator="greaterThanOrEqual" dxfId="0">
      <formula>1</formula>
    </cfRule>
    <cfRule type="cellIs" priority="4" operator="lessThan" dxfId="4">
      <formula>1</formula>
    </cfRule>
  </conditionalFormatting>
  <conditionalFormatting sqref="B8">
    <cfRule type="cellIs" priority="5" operator="greaterThan" dxfId="0">
      <formula>0</formula>
    </cfRule>
    <cfRule type="cellIs" priority="6" operator="lessThan" dxfId="4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2026-04-24T01:08:35Z</dcterms:created>
  <dcterms:modified xsi:type="dcterms:W3CDTF">2026-04-24T01:08:35Z</dcterms:modified>
</cp:coreProperties>
</file>