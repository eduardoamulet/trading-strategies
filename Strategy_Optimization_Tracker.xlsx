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se 1" sheetId="2" state="visible" r:id="rId2"/>
    <sheet name="Fase 2" sheetId="3" state="visible" r:id="rId3"/>
    <sheet name="Resumen" sheetId="4" state="visible" r:id="rId4"/>
    <sheet name="Ley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0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06060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CE5FF"/>
      </patternFill>
    </fill>
    <fill>
      <patternFill patternType="solid">
        <fgColor rgb="006AA84F"/>
      </patternFill>
    </fill>
    <fill>
      <patternFill patternType="solid">
        <fgColor rgb="00BF9000"/>
      </patternFill>
    </fill>
    <fill>
      <patternFill patternType="solid">
        <fgColor rgb="00E69138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165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3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 ht="28" customHeight="1">
      <c r="A1" s="1" t="inlineStr">
        <is>
          <t>STRATEGY OPTIMIZATION TRACKER — Trend Reversal BB</t>
        </is>
      </c>
    </row>
    <row r="2">
      <c r="A2" s="2" t="inlineStr"/>
    </row>
    <row r="3">
      <c r="A3" s="3" t="inlineStr">
        <is>
          <t>OBJETIVO</t>
        </is>
      </c>
    </row>
    <row r="4">
      <c r="A4" s="2" t="inlineStr"/>
    </row>
    <row r="5">
      <c r="A5" s="3" t="inlineStr">
        <is>
          <t>PARÁMETROS FIJOS (validados anteriormente)</t>
        </is>
      </c>
    </row>
    <row r="6">
      <c r="A6" s="2" t="inlineStr">
        <is>
          <t xml:space="preserve">  BB Length</t>
        </is>
      </c>
      <c r="B6" s="2" t="inlineStr">
        <is>
          <t>20</t>
        </is>
      </c>
    </row>
    <row r="7">
      <c r="A7" s="2" t="inlineStr">
        <is>
          <t xml:space="preserve">  BB Multiplier</t>
        </is>
      </c>
      <c r="B7" s="2" t="inlineStr">
        <is>
          <t>2.0</t>
        </is>
      </c>
    </row>
    <row r="8">
      <c r="A8" s="2" t="inlineStr">
        <is>
          <t xml:space="preserve">  Macro trend filter</t>
        </is>
      </c>
      <c r="B8" s="2" t="inlineStr">
        <is>
          <t>ON (D/SMA50/slope 5)</t>
        </is>
      </c>
    </row>
    <row r="9">
      <c r="A9" s="2" t="inlineStr">
        <is>
          <t xml:space="preserve">  Long-only (Enable SHORT = OFF)</t>
        </is>
      </c>
      <c r="B9" s="2" t="inlineStr">
        <is>
          <t>ON</t>
        </is>
      </c>
    </row>
    <row r="10">
      <c r="A10" s="2" t="inlineStr">
        <is>
          <t xml:space="preserve">  Require SMA20 reset + distance</t>
        </is>
      </c>
      <c r="B10" s="2" t="inlineStr">
        <is>
          <t>ON / 0.3%</t>
        </is>
      </c>
    </row>
    <row r="11">
      <c r="A11" s="2" t="inlineStr">
        <is>
          <t xml:space="preserve">  Cooldown</t>
        </is>
      </c>
      <c r="B11" s="2" t="inlineStr">
        <is>
          <t>8 bars</t>
        </is>
      </c>
    </row>
    <row r="12">
      <c r="A12" s="2" t="inlineStr">
        <is>
          <t xml:space="preserve">  Use trailing chandelier stop</t>
        </is>
      </c>
      <c r="B12" s="2" t="inlineStr">
        <is>
          <t>ON</t>
        </is>
      </c>
    </row>
    <row r="13">
      <c r="A13" s="2" t="inlineStr">
        <is>
          <t xml:space="preserve">  Chandelier ATR length</t>
        </is>
      </c>
      <c r="B13" s="2" t="inlineStr">
        <is>
          <t>22</t>
        </is>
      </c>
    </row>
    <row r="14">
      <c r="A14" s="2" t="inlineStr"/>
    </row>
    <row r="15">
      <c r="A15" s="3" t="inlineStr">
        <is>
          <t>PARÁMETROS FIJOS POR DISEÑO DE ESTRATEGIA</t>
        </is>
      </c>
    </row>
    <row r="16">
      <c r="A16" s="2" t="inlineStr">
        <is>
          <t xml:space="preserve">  Timeframe de ejecución</t>
        </is>
      </c>
      <c r="B16" s="2" t="inlineStr">
        <is>
          <t>1 HORA (fijo según Yoel)</t>
        </is>
      </c>
    </row>
    <row r="17">
      <c r="A17" s="2" t="inlineStr">
        <is>
          <t xml:space="preserve">  Timeframe de confirmación</t>
        </is>
      </c>
      <c r="B17" s="2" t="inlineStr">
        <is>
          <t>15 MIN (fijo según Yoel)</t>
        </is>
      </c>
    </row>
    <row r="18">
      <c r="A18" s="2" t="inlineStr"/>
    </row>
    <row r="19">
      <c r="A19" s="3" t="inlineStr">
        <is>
          <t>PARÁMETROS VARIABLES (grid search)</t>
        </is>
      </c>
    </row>
    <row r="20">
      <c r="A20" s="2" t="inlineStr">
        <is>
          <t xml:space="preserve">  Chandelier ATR multiplier</t>
        </is>
      </c>
      <c r="B20" s="2" t="inlineStr">
        <is>
          <t>2.0, 2.5, 3.0</t>
        </is>
      </c>
    </row>
    <row r="21">
      <c r="A21" s="2" t="inlineStr"/>
    </row>
    <row r="22">
      <c r="A22" s="3" t="inlineStr">
        <is>
          <t>FASES DE TESTING</t>
        </is>
      </c>
    </row>
    <row r="23">
      <c r="A23" s="2" t="inlineStr">
        <is>
          <t xml:space="preserve">  FASE 1 — Sensibilidad</t>
        </is>
      </c>
      <c r="B23" s="2" t="inlineStr">
        <is>
          <t>3 combos × 4 representativos (1 por perfil) = 12 tests</t>
        </is>
      </c>
    </row>
    <row r="24">
      <c r="A24" s="2" t="inlineStr">
        <is>
          <t xml:space="preserve">  FASE 2 — Validación</t>
        </is>
      </c>
      <c r="B24" s="2" t="inlineStr">
        <is>
          <t>Mejor config × 2 peers por perfil = 8 tests</t>
        </is>
      </c>
    </row>
    <row r="25">
      <c r="A25" s="3" t="inlineStr">
        <is>
          <t xml:space="preserve">  TOTAL</t>
        </is>
      </c>
    </row>
    <row r="26">
      <c r="A26" s="2" t="inlineStr"/>
    </row>
    <row r="27">
      <c r="A27" s="3" t="inlineStr">
        <is>
          <t>CÓMO USAR</t>
        </is>
      </c>
    </row>
    <row r="28">
      <c r="A28" s="2" t="inlineStr">
        <is>
          <t xml:space="preserve">  1. Abre la hoja 'Fase 1' para ver la lista de tests pendientes</t>
        </is>
      </c>
    </row>
    <row r="29">
      <c r="A29" s="2" t="inlineStr">
        <is>
          <t xml:space="preserve">  2. En TradingView, configura el BACKTEST con los parámetros indicados</t>
        </is>
      </c>
    </row>
    <row r="30">
      <c r="A30" s="2" t="inlineStr">
        <is>
          <t xml:space="preserve">  3. Ejecuta el backtest y copia los resultados (PF, WR, Net $, etc.)</t>
        </is>
      </c>
    </row>
    <row r="31">
      <c r="A31" s="2" t="inlineStr">
        <is>
          <t xml:space="preserve">  4. Pégalos en la fila correspondiente → el Status cambia automáticamente</t>
        </is>
      </c>
    </row>
    <row r="32">
      <c r="A32" s="2" t="inlineStr">
        <is>
          <t xml:space="preserve">  5. Alternativamente: manda el XLSX del export a Claude — él llena la fila</t>
        </is>
      </c>
    </row>
    <row r="33">
      <c r="A33" s="2" t="inlineStr"/>
    </row>
    <row r="34">
      <c r="A34" s="3" t="inlineStr">
        <is>
          <t>INTERPRETACIÓN DE RESULTADOS</t>
        </is>
      </c>
    </row>
    <row r="35">
      <c r="A35" s="2" t="inlineStr">
        <is>
          <t xml:space="preserve">  PF &gt; 1.0 y WR &gt; 30%</t>
        </is>
      </c>
      <c r="B35" s="2" t="inlineStr">
        <is>
          <t>Estrategia rentable en ese activo/config</t>
        </is>
      </c>
    </row>
    <row r="36">
      <c r="A36" s="3" t="inlineStr">
        <is>
          <t xml:space="preserve">  PF 0.9 — 1.0</t>
        </is>
      </c>
    </row>
    <row r="37">
      <c r="A37" s="3" t="inlineStr">
        <is>
          <t xml:space="preserve">  PF &lt; 0.9</t>
        </is>
      </c>
    </row>
    <row r="38">
      <c r="A38" s="2" t="inlineStr"/>
    </row>
    <row r="39">
      <c r="A39" s="3" t="inlineStr">
        <is>
          <t>HOJAS DEL WORKBOOK</t>
        </is>
      </c>
    </row>
    <row r="40">
      <c r="A40" s="3" t="inlineStr">
        <is>
          <t xml:space="preserve">  README</t>
        </is>
      </c>
    </row>
    <row r="41">
      <c r="A41" s="2" t="inlineStr">
        <is>
          <t xml:space="preserve">  Fase 1</t>
        </is>
      </c>
      <c r="B41" s="2" t="inlineStr">
        <is>
          <t>Grid search por perfil (16 tests)</t>
        </is>
      </c>
    </row>
    <row r="42">
      <c r="A42" s="2" t="inlineStr">
        <is>
          <t xml:space="preserve">  Fase 2</t>
        </is>
      </c>
      <c r="B42" s="2" t="inlineStr">
        <is>
          <t>Validación de config ganadora (8 tests)</t>
        </is>
      </c>
    </row>
    <row r="43">
      <c r="A43" s="2" t="inlineStr">
        <is>
          <t xml:space="preserve">  Resumen</t>
        </is>
      </c>
      <c r="B43" s="2" t="inlineStr">
        <is>
          <t>Configuración óptima por perfil (auto-calculado)</t>
        </is>
      </c>
    </row>
    <row r="44">
      <c r="A44" s="2" t="inlineStr">
        <is>
          <t xml:space="preserve">  Leyenda</t>
        </is>
      </c>
      <c r="B44" s="2" t="inlineStr">
        <is>
          <t>Baseline y métricas ya conocidas</t>
        </is>
      </c>
    </row>
  </sheetData>
  <mergeCells count="13">
    <mergeCell ref="A36:G36"/>
    <mergeCell ref="A1:G1"/>
    <mergeCell ref="A40:G40"/>
    <mergeCell ref="A27:G27"/>
    <mergeCell ref="A3:G3"/>
    <mergeCell ref="A22:G22"/>
    <mergeCell ref="A34:G34"/>
    <mergeCell ref="A39:G39"/>
    <mergeCell ref="A15:G15"/>
    <mergeCell ref="A25:G25"/>
    <mergeCell ref="A19:G19"/>
    <mergeCell ref="A5:G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30" customWidth="1" min="14" max="14"/>
  </cols>
  <sheetData>
    <row r="1" ht="24" customHeight="1">
      <c r="A1" s="1" t="inlineStr">
        <is>
          <t>FASE 1 — GRID SEARCH (Sensibilidad de parámetros)</t>
        </is>
      </c>
    </row>
    <row r="3" ht="22" customHeight="1">
      <c r="A3" s="4" t="inlineStr">
        <is>
          <t>#</t>
        </is>
      </c>
      <c r="B3" s="4" t="inlineStr">
        <is>
          <t>Perfil</t>
        </is>
      </c>
      <c r="C3" s="4" t="inlineStr">
        <is>
          <t>Ticker</t>
        </is>
      </c>
      <c r="D3" s="4" t="inlineStr">
        <is>
          <t>Timeframe</t>
        </is>
      </c>
      <c r="E3" s="4" t="inlineStr">
        <is>
          <t>Chandelier</t>
        </is>
      </c>
      <c r="F3" s="4" t="inlineStr">
        <is>
          <t>Net Profit $</t>
        </is>
      </c>
      <c r="G3" s="4" t="inlineStr">
        <is>
          <t>Net Profit %</t>
        </is>
      </c>
      <c r="H3" s="4" t="inlineStr">
        <is>
          <t>PF</t>
        </is>
      </c>
      <c r="I3" s="4" t="inlineStr">
        <is>
          <t>Win Rate %</t>
        </is>
      </c>
      <c r="J3" s="4" t="inlineStr">
        <is>
          <t>W/L Ratio</t>
        </is>
      </c>
      <c r="K3" s="4" t="inlineStr">
        <is>
          <t># Trades</t>
        </is>
      </c>
      <c r="L3" s="4" t="inlineStr">
        <is>
          <t>Max DD %</t>
        </is>
      </c>
      <c r="M3" s="4" t="inlineStr">
        <is>
          <t>Status</t>
        </is>
      </c>
      <c r="N3" s="4" t="inlineStr">
        <is>
          <t>Notas</t>
        </is>
      </c>
    </row>
    <row r="4">
      <c r="A4" s="5" t="n">
        <v>1</v>
      </c>
      <c r="B4" s="6" t="inlineStr">
        <is>
          <t>A</t>
        </is>
      </c>
      <c r="C4" s="7" t="inlineStr">
        <is>
          <t>SPY</t>
        </is>
      </c>
      <c r="D4" s="5" t="inlineStr">
        <is>
          <t>1H</t>
        </is>
      </c>
      <c r="E4" s="8" t="n">
        <v>2</v>
      </c>
      <c r="F4" s="9" t="n"/>
      <c r="G4" s="9" t="n"/>
      <c r="H4" s="9" t="n"/>
      <c r="I4" s="9" t="n"/>
      <c r="J4" s="9" t="n"/>
      <c r="K4" s="9" t="n"/>
      <c r="L4" s="9" t="n"/>
      <c r="M4" s="7">
        <f>IF(H4="","Pendiente",IF(H4&gt;=1,"Rentable",IF(H4&gt;=0.9,"Breakeven","No rentable")))</f>
        <v/>
      </c>
      <c r="N4" s="9" t="n"/>
    </row>
    <row r="5">
      <c r="A5" s="5" t="n">
        <v>2</v>
      </c>
      <c r="B5" s="6" t="inlineStr">
        <is>
          <t>A</t>
        </is>
      </c>
      <c r="C5" s="7" t="inlineStr">
        <is>
          <t>SPY</t>
        </is>
      </c>
      <c r="D5" s="5" t="inlineStr">
        <is>
          <t>1H</t>
        </is>
      </c>
      <c r="E5" s="8" t="n">
        <v>2.5</v>
      </c>
      <c r="F5" s="9" t="n"/>
      <c r="G5" s="9" t="n"/>
      <c r="H5" s="9" t="n"/>
      <c r="I5" s="9" t="n"/>
      <c r="J5" s="9" t="n"/>
      <c r="K5" s="9" t="n"/>
      <c r="L5" s="9" t="n"/>
      <c r="M5" s="7">
        <f>IF(H5="","Pendiente",IF(H5&gt;=1,"Rentable",IF(H5&gt;=0.9,"Breakeven","No rentable")))</f>
        <v/>
      </c>
      <c r="N5" s="9" t="n"/>
    </row>
    <row r="6">
      <c r="A6" s="5" t="n">
        <v>3</v>
      </c>
      <c r="B6" s="6" t="inlineStr">
        <is>
          <t>A</t>
        </is>
      </c>
      <c r="C6" s="7" t="inlineStr">
        <is>
          <t>SPY</t>
        </is>
      </c>
      <c r="D6" s="5" t="inlineStr">
        <is>
          <t>1H</t>
        </is>
      </c>
      <c r="E6" s="8" t="n">
        <v>3</v>
      </c>
      <c r="F6" s="9" t="n"/>
      <c r="G6" s="9" t="n"/>
      <c r="H6" s="9" t="n"/>
      <c r="I6" s="9" t="n"/>
      <c r="J6" s="9" t="n"/>
      <c r="K6" s="9" t="n"/>
      <c r="L6" s="9" t="n"/>
      <c r="M6" s="7">
        <f>IF(H6="","Pendiente",IF(H6&gt;=1,"Rentable",IF(H6&gt;=0.9,"Breakeven","No rentable")))</f>
        <v/>
      </c>
      <c r="N6" s="9" t="n"/>
    </row>
    <row r="7">
      <c r="A7" s="5" t="n">
        <v>4</v>
      </c>
      <c r="B7" s="10" t="inlineStr">
        <is>
          <t>B</t>
        </is>
      </c>
      <c r="C7" s="7" t="inlineStr">
        <is>
          <t>QQQ</t>
        </is>
      </c>
      <c r="D7" s="5" t="inlineStr">
        <is>
          <t>1H</t>
        </is>
      </c>
      <c r="E7" s="8" t="n">
        <v>2</v>
      </c>
      <c r="F7" s="9" t="n"/>
      <c r="G7" s="9" t="n"/>
      <c r="H7" s="9" t="n"/>
      <c r="I7" s="9" t="n"/>
      <c r="J7" s="9" t="n"/>
      <c r="K7" s="9" t="n"/>
      <c r="L7" s="9" t="n"/>
      <c r="M7" s="7">
        <f>IF(H7="","Pendiente",IF(H7&gt;=1,"Rentable",IF(H7&gt;=0.9,"Breakeven","No rentable")))</f>
        <v/>
      </c>
      <c r="N7" s="9" t="n"/>
    </row>
    <row r="8">
      <c r="A8" s="5" t="n">
        <v>5</v>
      </c>
      <c r="B8" s="10" t="inlineStr">
        <is>
          <t>B</t>
        </is>
      </c>
      <c r="C8" s="7" t="inlineStr">
        <is>
          <t>QQQ</t>
        </is>
      </c>
      <c r="D8" s="5" t="inlineStr">
        <is>
          <t>1H</t>
        </is>
      </c>
      <c r="E8" s="8" t="n">
        <v>2.5</v>
      </c>
      <c r="F8" s="11" t="n">
        <v>-74.47</v>
      </c>
      <c r="G8" s="12">
        <f>F8/10000</f>
        <v/>
      </c>
      <c r="H8" s="13" t="n">
        <v>0.921</v>
      </c>
      <c r="I8" s="12" t="n">
        <v>0.3052</v>
      </c>
      <c r="J8" s="13" t="n">
        <v>2.098</v>
      </c>
      <c r="K8" s="5" t="n">
        <v>308</v>
      </c>
      <c r="L8" s="12" t="n">
        <v>0.0152</v>
      </c>
      <c r="M8" s="7">
        <f>IF(H8="","Pendiente",IF(H8&gt;=1,"Rentable",IF(H8&gt;=0.9,"Breakeven","No rentable")))</f>
        <v/>
      </c>
      <c r="N8" s="9" t="n"/>
    </row>
    <row r="9">
      <c r="A9" s="5" t="n">
        <v>6</v>
      </c>
      <c r="B9" s="10" t="inlineStr">
        <is>
          <t>B</t>
        </is>
      </c>
      <c r="C9" s="7" t="inlineStr">
        <is>
          <t>QQQ</t>
        </is>
      </c>
      <c r="D9" s="5" t="inlineStr">
        <is>
          <t>1H</t>
        </is>
      </c>
      <c r="E9" s="8" t="n">
        <v>3</v>
      </c>
      <c r="F9" s="11" t="n">
        <v>-164.47</v>
      </c>
      <c r="G9" s="12">
        <f>F9/10000</f>
        <v/>
      </c>
      <c r="H9" s="13" t="n">
        <v>0.87</v>
      </c>
      <c r="I9" s="12" t="n">
        <v>0.2834</v>
      </c>
      <c r="J9" s="13" t="n">
        <v>2.2</v>
      </c>
      <c r="K9" s="5" t="n">
        <v>307</v>
      </c>
      <c r="L9" s="12" t="n">
        <v>0.0244</v>
      </c>
      <c r="M9" s="7">
        <f>IF(H9="","Pendiente",IF(H9&gt;=1,"Rentable",IF(H9&gt;=0.9,"Breakeven","No rentable")))</f>
        <v/>
      </c>
      <c r="N9" s="9" t="n"/>
    </row>
    <row r="10">
      <c r="A10" s="5" t="n">
        <v>7</v>
      </c>
      <c r="B10" s="14" t="inlineStr">
        <is>
          <t>C</t>
        </is>
      </c>
      <c r="C10" s="7" t="inlineStr">
        <is>
          <t>AAPL</t>
        </is>
      </c>
      <c r="D10" s="5" t="inlineStr">
        <is>
          <t>1H</t>
        </is>
      </c>
      <c r="E10" s="8" t="n">
        <v>2</v>
      </c>
      <c r="F10" s="9" t="n"/>
      <c r="G10" s="9" t="n"/>
      <c r="H10" s="9" t="n"/>
      <c r="I10" s="9" t="n"/>
      <c r="J10" s="9" t="n"/>
      <c r="K10" s="9" t="n"/>
      <c r="L10" s="9" t="n"/>
      <c r="M10" s="7">
        <f>IF(H10="","Pendiente",IF(H10&gt;=1,"Rentable",IF(H10&gt;=0.9,"Breakeven","No rentable")))</f>
        <v/>
      </c>
      <c r="N10" s="9" t="n"/>
    </row>
    <row r="11">
      <c r="A11" s="5" t="n">
        <v>8</v>
      </c>
      <c r="B11" s="14" t="inlineStr">
        <is>
          <t>C</t>
        </is>
      </c>
      <c r="C11" s="7" t="inlineStr">
        <is>
          <t>AAPL</t>
        </is>
      </c>
      <c r="D11" s="5" t="inlineStr">
        <is>
          <t>1H</t>
        </is>
      </c>
      <c r="E11" s="8" t="n">
        <v>2.5</v>
      </c>
      <c r="F11" s="9" t="n"/>
      <c r="G11" s="9" t="n"/>
      <c r="H11" s="9" t="n"/>
      <c r="I11" s="9" t="n"/>
      <c r="J11" s="9" t="n"/>
      <c r="K11" s="9" t="n"/>
      <c r="L11" s="9" t="n"/>
      <c r="M11" s="7">
        <f>IF(H11="","Pendiente",IF(H11&gt;=1,"Rentable",IF(H11&gt;=0.9,"Breakeven","No rentable")))</f>
        <v/>
      </c>
      <c r="N11" s="9" t="n"/>
    </row>
    <row r="12">
      <c r="A12" s="5" t="n">
        <v>9</v>
      </c>
      <c r="B12" s="14" t="inlineStr">
        <is>
          <t>C</t>
        </is>
      </c>
      <c r="C12" s="7" t="inlineStr">
        <is>
          <t>AAPL</t>
        </is>
      </c>
      <c r="D12" s="5" t="inlineStr">
        <is>
          <t>1H</t>
        </is>
      </c>
      <c r="E12" s="8" t="n">
        <v>3</v>
      </c>
      <c r="F12" s="9" t="n"/>
      <c r="G12" s="9" t="n"/>
      <c r="H12" s="9" t="n"/>
      <c r="I12" s="9" t="n"/>
      <c r="J12" s="9" t="n"/>
      <c r="K12" s="9" t="n"/>
      <c r="L12" s="9" t="n"/>
      <c r="M12" s="7">
        <f>IF(H12="","Pendiente",IF(H12&gt;=1,"Rentable",IF(H12&gt;=0.9,"Breakeven","No rentable")))</f>
        <v/>
      </c>
      <c r="N12" s="9" t="n"/>
    </row>
    <row r="13">
      <c r="A13" s="5" t="n">
        <v>10</v>
      </c>
      <c r="B13" s="15" t="inlineStr">
        <is>
          <t>D</t>
        </is>
      </c>
      <c r="C13" s="7" t="inlineStr">
        <is>
          <t>TSLA</t>
        </is>
      </c>
      <c r="D13" s="5" t="inlineStr">
        <is>
          <t>1H</t>
        </is>
      </c>
      <c r="E13" s="8" t="n">
        <v>2</v>
      </c>
      <c r="F13" s="9" t="n"/>
      <c r="G13" s="9" t="n"/>
      <c r="H13" s="9" t="n"/>
      <c r="I13" s="9" t="n"/>
      <c r="J13" s="9" t="n"/>
      <c r="K13" s="9" t="n"/>
      <c r="L13" s="9" t="n"/>
      <c r="M13" s="7">
        <f>IF(H13="","Pendiente",IF(H13&gt;=1,"Rentable",IF(H13&gt;=0.9,"Breakeven","No rentable")))</f>
        <v/>
      </c>
      <c r="N13" s="9" t="n"/>
    </row>
    <row r="14">
      <c r="A14" s="5" t="n">
        <v>11</v>
      </c>
      <c r="B14" s="15" t="inlineStr">
        <is>
          <t>D</t>
        </is>
      </c>
      <c r="C14" s="7" t="inlineStr">
        <is>
          <t>TSLA</t>
        </is>
      </c>
      <c r="D14" s="5" t="inlineStr">
        <is>
          <t>1H</t>
        </is>
      </c>
      <c r="E14" s="8" t="n">
        <v>2.5</v>
      </c>
      <c r="F14" s="9" t="n"/>
      <c r="G14" s="9" t="n"/>
      <c r="H14" s="9" t="n"/>
      <c r="I14" s="9" t="n"/>
      <c r="J14" s="9" t="n"/>
      <c r="K14" s="9" t="n"/>
      <c r="L14" s="9" t="n"/>
      <c r="M14" s="7">
        <f>IF(H14="","Pendiente",IF(H14&gt;=1,"Rentable",IF(H14&gt;=0.9,"Breakeven","No rentable")))</f>
        <v/>
      </c>
      <c r="N14" s="9" t="n"/>
    </row>
    <row r="15">
      <c r="A15" s="5" t="n">
        <v>12</v>
      </c>
      <c r="B15" s="15" t="inlineStr">
        <is>
          <t>D</t>
        </is>
      </c>
      <c r="C15" s="7" t="inlineStr">
        <is>
          <t>TSLA</t>
        </is>
      </c>
      <c r="D15" s="5" t="inlineStr">
        <is>
          <t>1H</t>
        </is>
      </c>
      <c r="E15" s="8" t="n">
        <v>3</v>
      </c>
      <c r="F15" s="9" t="n"/>
      <c r="G15" s="9" t="n"/>
      <c r="H15" s="9" t="n"/>
      <c r="I15" s="9" t="n"/>
      <c r="J15" s="9" t="n"/>
      <c r="K15" s="9" t="n"/>
      <c r="L15" s="9" t="n"/>
      <c r="M15" s="7">
        <f>IF(H15="","Pendiente",IF(H15&gt;=1,"Rentable",IF(H15&gt;=0.9,"Breakeven","No rentable")))</f>
        <v/>
      </c>
      <c r="N15" s="9" t="n"/>
    </row>
  </sheetData>
  <mergeCells count="1">
    <mergeCell ref="A1:N1"/>
  </mergeCells>
  <conditionalFormatting sqref="M4:M15">
    <cfRule type="cellIs" priority="1" operator="equal" dxfId="0">
      <formula>"Rentable"</formula>
    </cfRule>
    <cfRule type="cellIs" priority="2" operator="equal" dxfId="1">
      <formula>"Breakeven"</formula>
    </cfRule>
    <cfRule type="cellIs" priority="3" operator="equal" dxfId="2">
      <formula>"No rentable"</formula>
    </cfRule>
    <cfRule type="cellIs" priority="4" operator="equal" dxfId="3">
      <formula>"Pendiente"</formula>
    </cfRule>
  </conditionalFormatting>
  <conditionalFormatting sqref="H4:H15">
    <cfRule type="cellIs" priority="5" operator="greaterThanOrEqual" dxfId="0">
      <formula>1</formula>
    </cfRule>
    <cfRule type="cellIs" priority="6" operator="between" dxfId="1">
      <formula>0.9</formula>
      <formula>0.999</formula>
    </cfRule>
    <cfRule type="cellIs" priority="7" operator="lessThan" dxfId="2">
      <formula>0.9</formula>
    </cfRule>
  </conditionalFormatting>
  <conditionalFormatting sqref="F4:F15">
    <cfRule type="cellIs" priority="8" operator="greaterThan" dxfId="0">
      <formula>0</formula>
    </cfRule>
    <cfRule type="cellIs" priority="9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30" customWidth="1" min="14" max="14"/>
  </cols>
  <sheetData>
    <row r="1" ht="24" customHeight="1">
      <c r="A1" s="1" t="inlineStr">
        <is>
          <t>FASE 2 — VALIDACIÓN DE CONFIG GANADORA (Robustez por perfil)</t>
        </is>
      </c>
    </row>
    <row r="2">
      <c r="A2" s="16" t="inlineStr">
        <is>
          <t>Después de Fase 1: usa la mejor config de cada perfil y valida en 2 peers para confirmar robustez. Evita overfitting.</t>
        </is>
      </c>
    </row>
    <row r="4">
      <c r="A4" s="4" t="inlineStr">
        <is>
          <t>#</t>
        </is>
      </c>
      <c r="B4" s="4" t="inlineStr">
        <is>
          <t>Perfil</t>
        </is>
      </c>
      <c r="C4" s="4" t="inlineStr">
        <is>
          <t>Ticker</t>
        </is>
      </c>
      <c r="D4" s="4" t="inlineStr">
        <is>
          <t>Timeframe</t>
        </is>
      </c>
      <c r="E4" s="4" t="inlineStr">
        <is>
          <t>Chandelier</t>
        </is>
      </c>
      <c r="F4" s="4" t="inlineStr">
        <is>
          <t>Net Profit $</t>
        </is>
      </c>
      <c r="G4" s="4" t="inlineStr">
        <is>
          <t>Net Profit %</t>
        </is>
      </c>
      <c r="H4" s="4" t="inlineStr">
        <is>
          <t>PF</t>
        </is>
      </c>
      <c r="I4" s="4" t="inlineStr">
        <is>
          <t>Win Rate %</t>
        </is>
      </c>
      <c r="J4" s="4" t="inlineStr">
        <is>
          <t>W/L Ratio</t>
        </is>
      </c>
      <c r="K4" s="4" t="inlineStr">
        <is>
          <t># Trades</t>
        </is>
      </c>
      <c r="L4" s="4" t="inlineStr">
        <is>
          <t>Max DD %</t>
        </is>
      </c>
      <c r="M4" s="4" t="inlineStr">
        <is>
          <t>Status</t>
        </is>
      </c>
      <c r="N4" s="4" t="inlineStr">
        <is>
          <t>Notas</t>
        </is>
      </c>
    </row>
    <row r="5">
      <c r="A5" s="5" t="n">
        <v>1</v>
      </c>
      <c r="B5" s="6" t="inlineStr">
        <is>
          <t>A</t>
        </is>
      </c>
      <c r="C5" s="7" t="inlineStr">
        <is>
          <t>DIA</t>
        </is>
      </c>
      <c r="D5" s="5" t="inlineStr">
        <is>
          <t>TBD</t>
        </is>
      </c>
      <c r="E5" s="5" t="inlineStr">
        <is>
          <t>TBD</t>
        </is>
      </c>
      <c r="F5" s="9" t="n"/>
      <c r="G5" s="9" t="n"/>
      <c r="H5" s="9" t="n"/>
      <c r="I5" s="9" t="n"/>
      <c r="J5" s="9" t="n"/>
      <c r="K5" s="9" t="n"/>
      <c r="L5" s="9" t="n"/>
      <c r="M5" s="7">
        <f>IF(H5="","Pendiente",IF(H5&gt;=1,"Rentable",IF(H5&gt;=0.9,"Breakeven","No rentable")))</f>
        <v/>
      </c>
      <c r="N5" s="9" t="n"/>
    </row>
    <row r="6">
      <c r="A6" s="5" t="n">
        <v>2</v>
      </c>
      <c r="B6" s="6" t="inlineStr">
        <is>
          <t>A</t>
        </is>
      </c>
      <c r="C6" s="7" t="inlineStr">
        <is>
          <t>GLD</t>
        </is>
      </c>
      <c r="D6" s="5" t="inlineStr">
        <is>
          <t>TBD</t>
        </is>
      </c>
      <c r="E6" s="5" t="inlineStr">
        <is>
          <t>TBD</t>
        </is>
      </c>
      <c r="F6" s="9" t="n"/>
      <c r="G6" s="9" t="n"/>
      <c r="H6" s="9" t="n"/>
      <c r="I6" s="9" t="n"/>
      <c r="J6" s="9" t="n"/>
      <c r="K6" s="9" t="n"/>
      <c r="L6" s="9" t="n"/>
      <c r="M6" s="7">
        <f>IF(H6="","Pendiente",IF(H6&gt;=1,"Rentable",IF(H6&gt;=0.9,"Breakeven","No rentable")))</f>
        <v/>
      </c>
      <c r="N6" s="9" t="n"/>
    </row>
    <row r="7">
      <c r="A7" s="5" t="n">
        <v>3</v>
      </c>
      <c r="B7" s="10" t="inlineStr">
        <is>
          <t>B</t>
        </is>
      </c>
      <c r="C7" s="7" t="inlineStr">
        <is>
          <t>IWM</t>
        </is>
      </c>
      <c r="D7" s="5" t="inlineStr">
        <is>
          <t>TBD</t>
        </is>
      </c>
      <c r="E7" s="5" t="inlineStr">
        <is>
          <t>TBD</t>
        </is>
      </c>
      <c r="F7" s="9" t="n"/>
      <c r="G7" s="9" t="n"/>
      <c r="H7" s="9" t="n"/>
      <c r="I7" s="9" t="n"/>
      <c r="J7" s="9" t="n"/>
      <c r="K7" s="9" t="n"/>
      <c r="L7" s="9" t="n"/>
      <c r="M7" s="7">
        <f>IF(H7="","Pendiente",IF(H7&gt;=1,"Rentable",IF(H7&gt;=0.9,"Breakeven","No rentable")))</f>
        <v/>
      </c>
      <c r="N7" s="9" t="n"/>
    </row>
    <row r="8">
      <c r="A8" s="5" t="n">
        <v>4</v>
      </c>
      <c r="B8" s="10" t="inlineStr">
        <is>
          <t>B</t>
        </is>
      </c>
      <c r="C8" s="7" t="inlineStr">
        <is>
          <t>SMH</t>
        </is>
      </c>
      <c r="D8" s="5" t="inlineStr">
        <is>
          <t>TBD</t>
        </is>
      </c>
      <c r="E8" s="5" t="inlineStr">
        <is>
          <t>TBD</t>
        </is>
      </c>
      <c r="F8" s="9" t="n"/>
      <c r="G8" s="9" t="n"/>
      <c r="H8" s="9" t="n"/>
      <c r="I8" s="9" t="n"/>
      <c r="J8" s="9" t="n"/>
      <c r="K8" s="9" t="n"/>
      <c r="L8" s="9" t="n"/>
      <c r="M8" s="7">
        <f>IF(H8="","Pendiente",IF(H8&gt;=1,"Rentable",IF(H8&gt;=0.9,"Breakeven","No rentable")))</f>
        <v/>
      </c>
      <c r="N8" s="9" t="n"/>
    </row>
    <row r="9">
      <c r="A9" s="5" t="n">
        <v>5</v>
      </c>
      <c r="B9" s="14" t="inlineStr">
        <is>
          <t>C</t>
        </is>
      </c>
      <c r="C9" s="7" t="inlineStr">
        <is>
          <t>MSFT</t>
        </is>
      </c>
      <c r="D9" s="5" t="inlineStr">
        <is>
          <t>TBD</t>
        </is>
      </c>
      <c r="E9" s="5" t="inlineStr">
        <is>
          <t>TBD</t>
        </is>
      </c>
      <c r="F9" s="9" t="n"/>
      <c r="G9" s="9" t="n"/>
      <c r="H9" s="9" t="n"/>
      <c r="I9" s="9" t="n"/>
      <c r="J9" s="9" t="n"/>
      <c r="K9" s="9" t="n"/>
      <c r="L9" s="9" t="n"/>
      <c r="M9" s="7">
        <f>IF(H9="","Pendiente",IF(H9&gt;=1,"Rentable",IF(H9&gt;=0.9,"Breakeven","No rentable")))</f>
        <v/>
      </c>
      <c r="N9" s="9" t="n"/>
    </row>
    <row r="10">
      <c r="A10" s="5" t="n">
        <v>6</v>
      </c>
      <c r="B10" s="14" t="inlineStr">
        <is>
          <t>C</t>
        </is>
      </c>
      <c r="C10" s="7" t="inlineStr">
        <is>
          <t>META</t>
        </is>
      </c>
      <c r="D10" s="5" t="inlineStr">
        <is>
          <t>TBD</t>
        </is>
      </c>
      <c r="E10" s="5" t="inlineStr">
        <is>
          <t>TBD</t>
        </is>
      </c>
      <c r="F10" s="9" t="n"/>
      <c r="G10" s="9" t="n"/>
      <c r="H10" s="9" t="n"/>
      <c r="I10" s="9" t="n"/>
      <c r="J10" s="9" t="n"/>
      <c r="K10" s="9" t="n"/>
      <c r="L10" s="9" t="n"/>
      <c r="M10" s="7">
        <f>IF(H10="","Pendiente",IF(H10&gt;=1,"Rentable",IF(H10&gt;=0.9,"Breakeven","No rentable")))</f>
        <v/>
      </c>
      <c r="N10" s="9" t="n"/>
    </row>
    <row r="11">
      <c r="A11" s="5" t="n">
        <v>7</v>
      </c>
      <c r="B11" s="15" t="inlineStr">
        <is>
          <t>D</t>
        </is>
      </c>
      <c r="C11" s="7" t="inlineStr">
        <is>
          <t>NVDA</t>
        </is>
      </c>
      <c r="D11" s="5" t="inlineStr">
        <is>
          <t>TBD</t>
        </is>
      </c>
      <c r="E11" s="5" t="inlineStr">
        <is>
          <t>TBD</t>
        </is>
      </c>
      <c r="F11" s="9" t="n"/>
      <c r="G11" s="9" t="n"/>
      <c r="H11" s="9" t="n"/>
      <c r="I11" s="9" t="n"/>
      <c r="J11" s="9" t="n"/>
      <c r="K11" s="9" t="n"/>
      <c r="L11" s="9" t="n"/>
      <c r="M11" s="7">
        <f>IF(H11="","Pendiente",IF(H11&gt;=1,"Rentable",IF(H11&gt;=0.9,"Breakeven","No rentable")))</f>
        <v/>
      </c>
      <c r="N11" s="9" t="n"/>
    </row>
    <row r="12">
      <c r="A12" s="5" t="n">
        <v>8</v>
      </c>
      <c r="B12" s="15" t="inlineStr">
        <is>
          <t>D</t>
        </is>
      </c>
      <c r="C12" s="7" t="inlineStr">
        <is>
          <t>AMD</t>
        </is>
      </c>
      <c r="D12" s="5" t="inlineStr">
        <is>
          <t>TBD</t>
        </is>
      </c>
      <c r="E12" s="5" t="inlineStr">
        <is>
          <t>TBD</t>
        </is>
      </c>
      <c r="F12" s="9" t="n"/>
      <c r="G12" s="9" t="n"/>
      <c r="H12" s="9" t="n"/>
      <c r="I12" s="9" t="n"/>
      <c r="J12" s="9" t="n"/>
      <c r="K12" s="9" t="n"/>
      <c r="L12" s="9" t="n"/>
      <c r="M12" s="7">
        <f>IF(H12="","Pendiente",IF(H12&gt;=1,"Rentable",IF(H12&gt;=0.9,"Breakeven","No rentable")))</f>
        <v/>
      </c>
      <c r="N12" s="9" t="n"/>
    </row>
  </sheetData>
  <mergeCells count="2">
    <mergeCell ref="A2:N2"/>
    <mergeCell ref="A1:N1"/>
  </mergeCells>
  <conditionalFormatting sqref="M5:M12">
    <cfRule type="cellIs" priority="1" operator="equal" dxfId="0">
      <formula>"Rentable"</formula>
    </cfRule>
    <cfRule type="cellIs" priority="2" operator="equal" dxfId="1">
      <formula>"Breakeven"</formula>
    </cfRule>
    <cfRule type="cellIs" priority="3" operator="equal" dxfId="2">
      <formula>"No rentable"</formula>
    </cfRule>
    <cfRule type="cellIs" priority="4" operator="equal" dxfId="3">
      <formula>"Pendiente"</formula>
    </cfRule>
  </conditionalFormatting>
  <conditionalFormatting sqref="H5:H12">
    <cfRule type="cellIs" priority="5" operator="greaterThanOrEqual" dxfId="0">
      <formula>1</formula>
    </cfRule>
    <cfRule type="cellIs" priority="6" operator="between" dxfId="1">
      <formula>0.9</formula>
      <formula>0.999</formula>
    </cfRule>
    <cfRule type="cellIs" priority="7" operator="lessThan" dxfId="2">
      <formula>0.9</formula>
    </cfRule>
  </conditionalFormatting>
  <conditionalFormatting sqref="F5:F12">
    <cfRule type="cellIs" priority="8" operator="greaterThan" dxfId="0">
      <formula>0</formula>
    </cfRule>
    <cfRule type="cellIs" priority="9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8" customWidth="1" min="4" max="4"/>
    <col width="12" customWidth="1" min="5" max="5"/>
    <col width="14" customWidth="1" min="6" max="6"/>
    <col width="25" customWidth="1" min="7" max="7"/>
    <col width="18" customWidth="1" min="8" max="8"/>
  </cols>
  <sheetData>
    <row r="1" ht="24" customHeight="1">
      <c r="A1" s="1" t="inlineStr">
        <is>
          <t>RESUMEN — CONFIGURACIÓN ÓPTIMA POR PERFIL</t>
        </is>
      </c>
    </row>
    <row r="3">
      <c r="A3" s="4" t="inlineStr">
        <is>
          <t>Perfil</t>
        </is>
      </c>
      <c r="B3" s="4" t="inlineStr">
        <is>
          <t>Mejor Ticker Fase 1</t>
        </is>
      </c>
      <c r="C3" s="4" t="inlineStr">
        <is>
          <t>TF Óptimo</t>
        </is>
      </c>
      <c r="D3" s="4" t="inlineStr">
        <is>
          <t>Chandelier Óptimo</t>
        </is>
      </c>
      <c r="E3" s="4" t="inlineStr">
        <is>
          <t>Mejor PF</t>
        </is>
      </c>
      <c r="F3" s="4" t="inlineStr">
        <is>
          <t>Mejor Net $</t>
        </is>
      </c>
      <c r="G3" s="4" t="inlineStr">
        <is>
          <t>Config Recomendada</t>
        </is>
      </c>
      <c r="H3" s="4" t="inlineStr">
        <is>
          <t>Validado (Fase 2)</t>
        </is>
      </c>
    </row>
    <row r="4">
      <c r="A4" s="6" t="inlineStr">
        <is>
          <t>A</t>
        </is>
      </c>
      <c r="B4" s="9">
        <f>IFERROR(INDEX('Fase 1'!$C$4:$C$15,MATCH(MAX(IF('Fase 1'!$B$4:$B$15="A",'Fase 1'!$H$4:$H$15)),IF('Fase 1'!$B$4:$B$15="A",'Fase 1'!$H$4:$H$15),0)),"-")</f>
        <v/>
      </c>
      <c r="C4" s="9">
        <f>IFERROR(INDEX('Fase 1'!$D$4:$D$15,MATCH(MAX(IF('Fase 1'!$B$4:$B$15="A",'Fase 1'!$H$4:$H$15)),IF('Fase 1'!$B$4:$B$15="A",'Fase 1'!$H$4:$H$15),0)),"-")</f>
        <v/>
      </c>
      <c r="D4" s="17">
        <f>IFERROR(INDEX('Fase 1'!$E$4:$E$15,MATCH(MAX(IF('Fase 1'!$B$4:$B$15="A",'Fase 1'!$H$4:$H$15)),IF('Fase 1'!$B$4:$B$15="A",'Fase 1'!$H$4:$H$15),0)),"-")</f>
        <v/>
      </c>
      <c r="E4" s="13">
        <f>IFERROR(MAX(IF('Fase 1'!$B$4:$B$15="A",'Fase 1'!$H$4:$H$15)),"-")</f>
        <v/>
      </c>
      <c r="F4" s="11">
        <f>IFERROR(INDEX('Fase 1'!$F$4:$F$15,MATCH(MAX(IF('Fase 1'!$B$4:$B$15="A",'Fase 1'!$H$4:$H$15)),IF('Fase 1'!$B$4:$B$15="A",'Fase 1'!$H$4:$H$15),0)),"-")</f>
        <v/>
      </c>
      <c r="G4" s="7">
        <f>IF(E4="-","Pendiente",C4&amp;" / "&amp;D4&amp;"x ATR")</f>
        <v/>
      </c>
      <c r="H4" s="5">
        <f>IFERROR(COUNTIFS('Fase 2'!$B$5:$B$12,"A",'Fase 2'!$H$5:$H$12,"&gt;=1")&amp;"/2","0/2")</f>
        <v/>
      </c>
    </row>
    <row r="5">
      <c r="A5" s="10" t="inlineStr">
        <is>
          <t>B</t>
        </is>
      </c>
      <c r="B5" s="9">
        <f>IFERROR(INDEX('Fase 1'!$C$4:$C$15,MATCH(MAX(IF('Fase 1'!$B$4:$B$15="B",'Fase 1'!$H$4:$H$15)),IF('Fase 1'!$B$4:$B$15="B",'Fase 1'!$H$4:$H$15),0)),"-")</f>
        <v/>
      </c>
      <c r="C5" s="9">
        <f>IFERROR(INDEX('Fase 1'!$D$4:$D$15,MATCH(MAX(IF('Fase 1'!$B$4:$B$15="B",'Fase 1'!$H$4:$H$15)),IF('Fase 1'!$B$4:$B$15="B",'Fase 1'!$H$4:$H$15),0)),"-")</f>
        <v/>
      </c>
      <c r="D5" s="17">
        <f>IFERROR(INDEX('Fase 1'!$E$4:$E$15,MATCH(MAX(IF('Fase 1'!$B$4:$B$15="B",'Fase 1'!$H$4:$H$15)),IF('Fase 1'!$B$4:$B$15="B",'Fase 1'!$H$4:$H$15),0)),"-")</f>
        <v/>
      </c>
      <c r="E5" s="13">
        <f>IFERROR(MAX(IF('Fase 1'!$B$4:$B$15="B",'Fase 1'!$H$4:$H$15)),"-")</f>
        <v/>
      </c>
      <c r="F5" s="11">
        <f>IFERROR(INDEX('Fase 1'!$F$4:$F$15,MATCH(MAX(IF('Fase 1'!$B$4:$B$15="B",'Fase 1'!$H$4:$H$15)),IF('Fase 1'!$B$4:$B$15="B",'Fase 1'!$H$4:$H$15),0)),"-")</f>
        <v/>
      </c>
      <c r="G5" s="7">
        <f>IF(E5="-","Pendiente",C5&amp;" / "&amp;D5&amp;"x ATR")</f>
        <v/>
      </c>
      <c r="H5" s="5">
        <f>IFERROR(COUNTIFS('Fase 2'!$B$5:$B$12,"B",'Fase 2'!$H$5:$H$12,"&gt;=1")&amp;"/2","0/2")</f>
        <v/>
      </c>
    </row>
    <row r="6">
      <c r="A6" s="14" t="inlineStr">
        <is>
          <t>C</t>
        </is>
      </c>
      <c r="B6" s="9">
        <f>IFERROR(INDEX('Fase 1'!$C$4:$C$15,MATCH(MAX(IF('Fase 1'!$B$4:$B$15="C",'Fase 1'!$H$4:$H$15)),IF('Fase 1'!$B$4:$B$15="C",'Fase 1'!$H$4:$H$15),0)),"-")</f>
        <v/>
      </c>
      <c r="C6" s="9">
        <f>IFERROR(INDEX('Fase 1'!$D$4:$D$15,MATCH(MAX(IF('Fase 1'!$B$4:$B$15="C",'Fase 1'!$H$4:$H$15)),IF('Fase 1'!$B$4:$B$15="C",'Fase 1'!$H$4:$H$15),0)),"-")</f>
        <v/>
      </c>
      <c r="D6" s="17">
        <f>IFERROR(INDEX('Fase 1'!$E$4:$E$15,MATCH(MAX(IF('Fase 1'!$B$4:$B$15="C",'Fase 1'!$H$4:$H$15)),IF('Fase 1'!$B$4:$B$15="C",'Fase 1'!$H$4:$H$15),0)),"-")</f>
        <v/>
      </c>
      <c r="E6" s="13">
        <f>IFERROR(MAX(IF('Fase 1'!$B$4:$B$15="C",'Fase 1'!$H$4:$H$15)),"-")</f>
        <v/>
      </c>
      <c r="F6" s="11">
        <f>IFERROR(INDEX('Fase 1'!$F$4:$F$15,MATCH(MAX(IF('Fase 1'!$B$4:$B$15="C",'Fase 1'!$H$4:$H$15)),IF('Fase 1'!$B$4:$B$15="C",'Fase 1'!$H$4:$H$15),0)),"-")</f>
        <v/>
      </c>
      <c r="G6" s="7">
        <f>IF(E6="-","Pendiente",C6&amp;" / "&amp;D6&amp;"x ATR")</f>
        <v/>
      </c>
      <c r="H6" s="5">
        <f>IFERROR(COUNTIFS('Fase 2'!$B$5:$B$12,"C",'Fase 2'!$H$5:$H$12,"&gt;=1")&amp;"/2","0/2")</f>
        <v/>
      </c>
    </row>
    <row r="7">
      <c r="A7" s="15" t="inlineStr">
        <is>
          <t>D</t>
        </is>
      </c>
      <c r="B7" s="9">
        <f>IFERROR(INDEX('Fase 1'!$C$4:$C$15,MATCH(MAX(IF('Fase 1'!$B$4:$B$15="D",'Fase 1'!$H$4:$H$15)),IF('Fase 1'!$B$4:$B$15="D",'Fase 1'!$H$4:$H$15),0)),"-")</f>
        <v/>
      </c>
      <c r="C7" s="9">
        <f>IFERROR(INDEX('Fase 1'!$D$4:$D$15,MATCH(MAX(IF('Fase 1'!$B$4:$B$15="D",'Fase 1'!$H$4:$H$15)),IF('Fase 1'!$B$4:$B$15="D",'Fase 1'!$H$4:$H$15),0)),"-")</f>
        <v/>
      </c>
      <c r="D7" s="17">
        <f>IFERROR(INDEX('Fase 1'!$E$4:$E$15,MATCH(MAX(IF('Fase 1'!$B$4:$B$15="D",'Fase 1'!$H$4:$H$15)),IF('Fase 1'!$B$4:$B$15="D",'Fase 1'!$H$4:$H$15),0)),"-")</f>
        <v/>
      </c>
      <c r="E7" s="13">
        <f>IFERROR(MAX(IF('Fase 1'!$B$4:$B$15="D",'Fase 1'!$H$4:$H$15)),"-")</f>
        <v/>
      </c>
      <c r="F7" s="11">
        <f>IFERROR(INDEX('Fase 1'!$F$4:$F$15,MATCH(MAX(IF('Fase 1'!$B$4:$B$15="D",'Fase 1'!$H$4:$H$15)),IF('Fase 1'!$B$4:$B$15="D",'Fase 1'!$H$4:$H$15),0)),"-")</f>
        <v/>
      </c>
      <c r="G7" s="7">
        <f>IF(E7="-","Pendiente",C7&amp;" / "&amp;D7&amp;"x ATR")</f>
        <v/>
      </c>
      <c r="H7" s="5">
        <f>IFERROR(COUNTIFS('Fase 2'!$B$5:$B$12,"D",'Fase 2'!$H$5:$H$12,"&gt;=1")&amp;"/2","0/2")</f>
        <v/>
      </c>
    </row>
  </sheetData>
  <mergeCells count="1">
    <mergeCell ref="A1:H1"/>
  </mergeCells>
  <conditionalFormatting sqref="E4:E7">
    <cfRule type="cellIs" priority="1" operator="greaterThanOrEqual" dxfId="0">
      <formula>1</formula>
    </cfRule>
    <cfRule type="cellIs" priority="2" operator="between" dxfId="1">
      <formula>0.9</formula>
      <formula>0.999</formula>
    </cfRule>
    <cfRule type="cellIs" priority="3" operator="lessThan" dxfId="2">
      <formula>0.9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4" customWidth="1" min="4" max="4"/>
  </cols>
  <sheetData>
    <row r="1" ht="24" customHeight="1">
      <c r="A1" s="1" t="inlineStr">
        <is>
          <t>LEYENDA DE PERFILES + BASELINE CONOCIDO</t>
        </is>
      </c>
    </row>
    <row r="3">
      <c r="A3" s="18" t="inlineStr">
        <is>
          <t>Perfil</t>
        </is>
      </c>
      <c r="B3" s="18" t="inlineStr">
        <is>
          <t>Descripción</t>
        </is>
      </c>
      <c r="C3" s="18" t="inlineStr">
        <is>
          <t>ATR% diario</t>
        </is>
      </c>
      <c r="D3" s="18" t="inlineStr">
        <is>
          <t>IV histórica</t>
        </is>
      </c>
    </row>
    <row r="4">
      <c r="A4" s="6" t="inlineStr">
        <is>
          <t>A</t>
        </is>
      </c>
      <c r="B4" s="19" t="inlineStr">
        <is>
          <t>Baja vol - ETFs broad market</t>
        </is>
      </c>
      <c r="C4" s="19" t="inlineStr">
        <is>
          <t>~0.8-1.2%</t>
        </is>
      </c>
      <c r="D4" s="19" t="inlineStr">
        <is>
          <t>12-18%</t>
        </is>
      </c>
    </row>
    <row r="5">
      <c r="A5" s="10" t="inlineStr">
        <is>
          <t>B</t>
        </is>
      </c>
      <c r="B5" s="19" t="inlineStr">
        <is>
          <t>Vol media - ETFs tech / stables</t>
        </is>
      </c>
      <c r="C5" s="19" t="inlineStr">
        <is>
          <t>~1.3-1.8%</t>
        </is>
      </c>
      <c r="D5" s="19" t="inlineStr">
        <is>
          <t>20-28%</t>
        </is>
      </c>
    </row>
    <row r="6">
      <c r="A6" s="14" t="inlineStr">
        <is>
          <t>C</t>
        </is>
      </c>
      <c r="B6" s="19" t="inlineStr">
        <is>
          <t>Vol media-alta - Big Tech / finanzas</t>
        </is>
      </c>
      <c r="C6" s="19" t="inlineStr">
        <is>
          <t>~1.8-2.5%</t>
        </is>
      </c>
      <c r="D6" s="19" t="inlineStr">
        <is>
          <t>25-40%</t>
        </is>
      </c>
    </row>
    <row r="7">
      <c r="A7" s="15" t="inlineStr">
        <is>
          <t>D</t>
        </is>
      </c>
      <c r="B7" s="19" t="inlineStr">
        <is>
          <t>Alta vol - Growth / semis / leveraged</t>
        </is>
      </c>
      <c r="C7" s="19" t="inlineStr">
        <is>
          <t>~3-5%</t>
        </is>
      </c>
      <c r="D7" s="19" t="inlineStr">
        <is>
          <t>45-70%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2026-04-24T01:22:14Z</dcterms:created>
  <dcterms:modified xsi:type="dcterms:W3CDTF">2026-04-24T01:22:14Z</dcterms:modified>
</cp:coreProperties>
</file>